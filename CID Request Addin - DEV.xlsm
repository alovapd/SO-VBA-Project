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1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SGT.png" ContentType="image/.png"/>
  <Override PartName="/customUI/images/Sheriff.png" ContentType="image/.png"/>
  <Override PartName="/customUI/images/EvocTwoFinal.png" ContentType="image/.png"/>
  <Override PartName="/customUI/images/Detective.png" ContentType="image/.png"/>
  <Override PartName="/customUI/images/Cpt.png" ContentType="image/.png"/>
  <Override PartName="/customUI/images/EvocOneFinal.png" ContentType="image/.png"/>
  <Override PartName="/customUI/images/DT1.png" ContentType="image/.png"/>
</Types>
</file>

<file path=_rels/.rels><?xml version="1.0" encoding="UTF-8" standalone="yes"?>
<Relationships xmlns="http://schemas.openxmlformats.org/package/2006/relationships"><Relationship Id="Re0a7e626ddc2442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O Major Addin\"/>
    </mc:Choice>
  </mc:AlternateContent>
  <bookViews>
    <workbookView xWindow="0" yWindow="0" windowWidth="24000" windowHeight="9510" activeTab="4" xr2:uid="{00000000-000D-0000-FFFF-FFFF00000000}"/>
  </bookViews>
  <sheets>
    <sheet name="Welcome" sheetId="15" r:id="rId1"/>
    <sheet name="Customs" sheetId="4" r:id="rId2"/>
    <sheet name="CIDReferal" sheetId="2" r:id="rId3"/>
    <sheet name="Data" sheetId="3" r:id="rId4"/>
    <sheet name="DataEvoc1" sheetId="5" r:id="rId5"/>
    <sheet name="DataEvoc2" sheetId="12" r:id="rId6"/>
    <sheet name="DataDT1" sheetId="7" r:id="rId7"/>
    <sheet name="EVOC1" sheetId="14" r:id="rId8"/>
    <sheet name="EVOC2" sheetId="10" r:id="rId9"/>
    <sheet name="DT1" sheetId="13" r:id="rId10"/>
  </sheets>
  <definedNames>
    <definedName name="Evoc1_CaseNum">EVOC1!$M$2</definedName>
    <definedName name="Evoc1_Category">EVOC1!$H$12</definedName>
    <definedName name="Evoc1_Comments">EVOC1!$H$28</definedName>
    <definedName name="Evoc1_CptDate">EVOC1!$K$54</definedName>
    <definedName name="Evoc1_Date">EVOC1!$B$11</definedName>
    <definedName name="Evoc1_DepJCNum">EVOC1!$M$11</definedName>
    <definedName name="Evoc1_DepSpeed">EVOC1!$F$41</definedName>
    <definedName name="Evoc1_Deputy">EVOC1!$H$11</definedName>
    <definedName name="Evoc1_DeputyDate">EVOC1!$K$45</definedName>
    <definedName name="Evoc1_InitialViolation">EVOC1!$I$14</definedName>
    <definedName name="Evoc1_Lighting">EVOC1!$C$22</definedName>
    <definedName name="Evoc1_OICJCNum">EVOC1!$M$41</definedName>
    <definedName name="Evoc1_OICName">EVOC1!$I$41</definedName>
    <definedName name="Evoc1_OtherTraffic">EVOC1!$C$23</definedName>
    <definedName name="Evoc1_OtherUnits">EVOC1!$F$25</definedName>
    <definedName name="Evoc1_Position">EVOC1!$B$12</definedName>
    <definedName name="Evoc1_ReasonStarted">EVOC1!$C$14</definedName>
    <definedName name="Evoc1_RoadSurface">EVOC1!$K$22</definedName>
    <definedName name="Evoc1_Route">EVOC1!$A$16</definedName>
    <definedName name="Evoc1_SgtDate">EVOC1!$K$48</definedName>
    <definedName name="Evoc1_SuspectSpeed">EVOC1!$C$41</definedName>
    <definedName name="Evoc1_TeamNum">EVOC1!$M$9</definedName>
    <definedName name="Evoc1_TermSelected">EVOC1!$D$27:$G$40</definedName>
    <definedName name="Evoc1_TermTime">EVOC1!$B$25</definedName>
    <definedName name="Evoc1_Time">EVOC1!$E$11</definedName>
    <definedName name="Evoc1_VehNum">EVOC1!$E$12</definedName>
    <definedName name="Evoc1_Weather">EVOC1!$G$22</definedName>
    <definedName name="Evoc2_CaseNum">EVOC2!$M$2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8" i="5" l="1"/>
  <c r="AN8" i="5"/>
  <c r="AE7" i="5" l="1"/>
  <c r="AN7" i="5"/>
  <c r="AE2" i="5"/>
  <c r="AE3" i="5"/>
  <c r="AE4" i="5"/>
  <c r="AE5" i="5"/>
  <c r="AE6" i="5"/>
  <c r="AN6" i="5" l="1"/>
  <c r="AN5" i="5"/>
  <c r="AN4" i="5"/>
  <c r="AN3" i="5"/>
  <c r="AN2" i="5"/>
  <c r="L2" i="3"/>
</calcChain>
</file>

<file path=xl/sharedStrings.xml><?xml version="1.0" encoding="utf-8"?>
<sst xmlns="http://schemas.openxmlformats.org/spreadsheetml/2006/main" count="646" uniqueCount="380">
  <si>
    <t>Deputy</t>
  </si>
  <si>
    <t>CID RERERRAL
REQUEST FORM</t>
  </si>
  <si>
    <t>REQUEST INITIATED</t>
  </si>
  <si>
    <t>BY DEPUTY:</t>
  </si>
  <si>
    <t>CASE #:</t>
  </si>
  <si>
    <t>CRIME:</t>
  </si>
  <si>
    <t>DATE:</t>
  </si>
  <si>
    <t>REASON FOR REFERRAL:</t>
  </si>
  <si>
    <t>PATROL SUPERVISOR</t>
  </si>
  <si>
    <t>APPROVED BY:</t>
  </si>
  <si>
    <t>DENIED BY:</t>
  </si>
  <si>
    <t>COMMENTS:</t>
  </si>
  <si>
    <t>CID SUPERVISOR</t>
  </si>
  <si>
    <t>ReqDate</t>
  </si>
  <si>
    <t>Comments</t>
  </si>
  <si>
    <t>name</t>
  </si>
  <si>
    <t>email</t>
  </si>
  <si>
    <t>Adams, C</t>
  </si>
  <si>
    <t>AdamsCM@jacksoncounty.org</t>
  </si>
  <si>
    <t>Adams, D</t>
  </si>
  <si>
    <t>AdamsDG@jacksoncounty.org</t>
  </si>
  <si>
    <t>Ainsworth</t>
  </si>
  <si>
    <t>AinswoJJ@jacksoncounty.org</t>
  </si>
  <si>
    <t>Avery</t>
  </si>
  <si>
    <t>AveryDP@jacksoncounty.org</t>
  </si>
  <si>
    <t>Bartlett</t>
  </si>
  <si>
    <t>BartleDJ@jacksoncounty.org</t>
  </si>
  <si>
    <t>Biddle</t>
  </si>
  <si>
    <t>BiddleJP@jacksoncounty.org</t>
  </si>
  <si>
    <t>Bohn</t>
  </si>
  <si>
    <t>BohnSG@jacksoncounty.org</t>
  </si>
  <si>
    <t>Brackett</t>
  </si>
  <si>
    <t>BrackeJW@jacksoncounty.org</t>
  </si>
  <si>
    <t>Brown</t>
  </si>
  <si>
    <t>BrownJD@jacksoncounty.org</t>
  </si>
  <si>
    <t>Burchfiel</t>
  </si>
  <si>
    <t>BurchfGR@jacksoncounty.org</t>
  </si>
  <si>
    <t>Cam, B</t>
  </si>
  <si>
    <t>CamBJ@jacksoncounty.org</t>
  </si>
  <si>
    <t>Cam, T</t>
  </si>
  <si>
    <t>CamTJ@jacksoncounty.org</t>
  </si>
  <si>
    <t>Campbell</t>
  </si>
  <si>
    <t>CampbeRO@jacksoncounty.org</t>
  </si>
  <si>
    <t>Cicero</t>
  </si>
  <si>
    <t>CiceroPC@jacksoncounty.org</t>
  </si>
  <si>
    <t>Cote</t>
  </si>
  <si>
    <t>CoteTV@jacksoncounty.org</t>
  </si>
  <si>
    <t>Crisp</t>
  </si>
  <si>
    <t>CrispGL@jacksoncounty.org</t>
  </si>
  <si>
    <t>Denton</t>
  </si>
  <si>
    <t>DentonJM@jacksoncounty.org</t>
  </si>
  <si>
    <t>Duke</t>
  </si>
  <si>
    <t>DukeDM@jacksoncounty.org</t>
  </si>
  <si>
    <t>Ettinger</t>
  </si>
  <si>
    <t>EttingMS@jacksoncounty.org</t>
  </si>
  <si>
    <t>French</t>
  </si>
  <si>
    <t>FrenchTB@jacksoncounty.org</t>
  </si>
  <si>
    <t>Friend</t>
  </si>
  <si>
    <t>FriendPB@jacksoncounty.org</t>
  </si>
  <si>
    <t>Grieve</t>
  </si>
  <si>
    <t>GrieveMA@jacksoncounty.org</t>
  </si>
  <si>
    <t>Grissom</t>
  </si>
  <si>
    <t>GrissoAJ@jacksoncounty.org</t>
  </si>
  <si>
    <t>Groom</t>
  </si>
  <si>
    <t>GroomRL@jacksoncounty.org</t>
  </si>
  <si>
    <t>Hagert</t>
  </si>
  <si>
    <t>HagertMC@jacksoncounty.org</t>
  </si>
  <si>
    <t>Henderson</t>
  </si>
  <si>
    <t>HenderEJ@jacksoncounty.org</t>
  </si>
  <si>
    <t>Hermant</t>
  </si>
  <si>
    <t>Hohl</t>
  </si>
  <si>
    <t>HohlTP@jacksoncounty.org</t>
  </si>
  <si>
    <t>Johnson</t>
  </si>
  <si>
    <t>JohnsoED@jacksoncounty.org</t>
  </si>
  <si>
    <t>Josephson</t>
  </si>
  <si>
    <t>Kennedy, T</t>
  </si>
  <si>
    <t>KennedTD@jacksoncounty.org</t>
  </si>
  <si>
    <t>Kocina</t>
  </si>
  <si>
    <t>KocinaJH@jacksoncounty.org</t>
  </si>
  <si>
    <t>Lance</t>
  </si>
  <si>
    <t>LanceIC@jacksoncounty.org</t>
  </si>
  <si>
    <t>Lenhardt</t>
  </si>
  <si>
    <t>LenharTG@jacksoncounty.org</t>
  </si>
  <si>
    <t>Lewis</t>
  </si>
  <si>
    <t>LewisAC@jacksoncounty.org</t>
  </si>
  <si>
    <t>Mcgrath</t>
  </si>
  <si>
    <t>McGratJZ@jacksoncounty.org</t>
  </si>
  <si>
    <t>Mckay</t>
  </si>
  <si>
    <t>McKayAJ@jacksoncounty.org</t>
  </si>
  <si>
    <t>Miles</t>
  </si>
  <si>
    <t>MilesDA@jacksoncounty.org</t>
  </si>
  <si>
    <t>Murillo</t>
  </si>
  <si>
    <t>MurillJM@jacksoncounty.org</t>
  </si>
  <si>
    <t>Osborne</t>
  </si>
  <si>
    <t>OsbornAL@jacksoncounty.org</t>
  </si>
  <si>
    <t>Penkava</t>
  </si>
  <si>
    <t>PenkavDW@jacksoncounty.org</t>
  </si>
  <si>
    <t>Penn</t>
  </si>
  <si>
    <t>PennJS@jacksoncounty.org</t>
  </si>
  <si>
    <t>Prins</t>
  </si>
  <si>
    <t>PrinsCA@jacksoncounty.org</t>
  </si>
  <si>
    <t>Richmond</t>
  </si>
  <si>
    <t>RichmoJT@jacksoncounty.org</t>
  </si>
  <si>
    <t>Scow</t>
  </si>
  <si>
    <t>Seese</t>
  </si>
  <si>
    <t>SeeseDR@jacksoncounty.org</t>
  </si>
  <si>
    <t>Shuart</t>
  </si>
  <si>
    <t>ShuartML@jacksoncounty.org</t>
  </si>
  <si>
    <t>Spohn</t>
  </si>
  <si>
    <t>SpohnMM@jacksoncounty.org</t>
  </si>
  <si>
    <t>Strohmeyer</t>
  </si>
  <si>
    <t>StrohmNJ@jacksoncounty.org</t>
  </si>
  <si>
    <t>Tuff</t>
  </si>
  <si>
    <t>TuffRD@jacksoncounty.org</t>
  </si>
  <si>
    <t>Weaver</t>
  </si>
  <si>
    <t>WeaverBM@jacksoncounty.org</t>
  </si>
  <si>
    <t>Winston</t>
  </si>
  <si>
    <t>WinstoJM@jacksoncounty.org</t>
  </si>
  <si>
    <t>Waldon</t>
  </si>
  <si>
    <t>WaldonSA@jacksoncounty.org</t>
  </si>
  <si>
    <t>Hobbs</t>
  </si>
  <si>
    <t>HobbsDP@jacksoncounty.org</t>
  </si>
  <si>
    <t>Walch</t>
  </si>
  <si>
    <t>WalchRA@jacksoncounty.org</t>
  </si>
  <si>
    <t>Pike</t>
  </si>
  <si>
    <t>PikeTS@jacksoncounty.org</t>
  </si>
  <si>
    <t>Fazio</t>
  </si>
  <si>
    <t>FazioBP@jacksoncounty.org</t>
  </si>
  <si>
    <t>Sergeant</t>
  </si>
  <si>
    <t>Corporal</t>
  </si>
  <si>
    <t>Detective</t>
  </si>
  <si>
    <t>CSO</t>
  </si>
  <si>
    <t>position</t>
  </si>
  <si>
    <t>Crimes</t>
  </si>
  <si>
    <t>Agency Assist</t>
  </si>
  <si>
    <t>Aggravated Theft</t>
  </si>
  <si>
    <t>Animal Abuse</t>
  </si>
  <si>
    <t>Arson</t>
  </si>
  <si>
    <t>Assault</t>
  </si>
  <si>
    <t>Assault - DV</t>
  </si>
  <si>
    <t>Attempted Escape</t>
  </si>
  <si>
    <t>Attempted Murder</t>
  </si>
  <si>
    <t>Burglary</t>
  </si>
  <si>
    <t>Child Abuse</t>
  </si>
  <si>
    <t>Child Porn</t>
  </si>
  <si>
    <t>Coersion</t>
  </si>
  <si>
    <t>Contempt of Court</t>
  </si>
  <si>
    <t>Counterfeiting</t>
  </si>
  <si>
    <t>Criminal Mistreatment</t>
  </si>
  <si>
    <t>Custodial Interference</t>
  </si>
  <si>
    <t>Disorderly Conduct</t>
  </si>
  <si>
    <t>Drug Crime</t>
  </si>
  <si>
    <t>Elder Abuse</t>
  </si>
  <si>
    <t>Elude</t>
  </si>
  <si>
    <t>Fail To Resister SO</t>
  </si>
  <si>
    <t>Fraud</t>
  </si>
  <si>
    <t>Homicide</t>
  </si>
  <si>
    <t>Karlys Law</t>
  </si>
  <si>
    <t>Major Incident</t>
  </si>
  <si>
    <t>Manslaughter</t>
  </si>
  <si>
    <t>Menacing</t>
  </si>
  <si>
    <t>Missing Adult</t>
  </si>
  <si>
    <t>Missing Juvenile</t>
  </si>
  <si>
    <t>Murder</t>
  </si>
  <si>
    <t>MVC-Fatal</t>
  </si>
  <si>
    <t>MVC-Injury</t>
  </si>
  <si>
    <t>MVC-Property</t>
  </si>
  <si>
    <t>OIS</t>
  </si>
  <si>
    <t>Online Sexual Coruption</t>
  </si>
  <si>
    <t>PCS</t>
  </si>
  <si>
    <t>Physical Abuse</t>
  </si>
  <si>
    <t>Rape</t>
  </si>
  <si>
    <t>Robbery</t>
  </si>
  <si>
    <t>Runaway Juvenile</t>
  </si>
  <si>
    <t>Sex Abuse</t>
  </si>
  <si>
    <t>Sex Offense</t>
  </si>
  <si>
    <t>Suspicious</t>
  </si>
  <si>
    <t>Suspicious Death</t>
  </si>
  <si>
    <t>Suspicious Injury</t>
  </si>
  <si>
    <t>Theft</t>
  </si>
  <si>
    <t>Vehicle Recovery</t>
  </si>
  <si>
    <t>Warrant</t>
  </si>
  <si>
    <t>RowNum</t>
  </si>
  <si>
    <t>SupApproved</t>
  </si>
  <si>
    <t>SupDeclined</t>
  </si>
  <si>
    <t>CIDAccept</t>
  </si>
  <si>
    <t>CIDDecline</t>
  </si>
  <si>
    <t>EVOC 1</t>
  </si>
  <si>
    <t>Deputy:</t>
  </si>
  <si>
    <t>JC Number:</t>
  </si>
  <si>
    <t>Position:</t>
  </si>
  <si>
    <t>Car Num:</t>
  </si>
  <si>
    <t>Category:</t>
  </si>
  <si>
    <t>Reason Started:</t>
  </si>
  <si>
    <t>Date:</t>
  </si>
  <si>
    <t>Time:</t>
  </si>
  <si>
    <t>ROUTE TAKEN</t>
  </si>
  <si>
    <t>CONDITIONS</t>
  </si>
  <si>
    <t>Lighting:</t>
  </si>
  <si>
    <t>Weather:</t>
  </si>
  <si>
    <t>Road:</t>
  </si>
  <si>
    <t>TERMINATION</t>
  </si>
  <si>
    <t>Other Traffic:</t>
  </si>
  <si>
    <t>Other Units:</t>
  </si>
  <si>
    <t>COMMENTS</t>
  </si>
  <si>
    <t>OIC On Duty:</t>
  </si>
  <si>
    <t>Max Deputy Speed:</t>
  </si>
  <si>
    <t>OIC Number:</t>
  </si>
  <si>
    <t>Max Suspect Speed:</t>
  </si>
  <si>
    <t>STAFF REFERRAL</t>
  </si>
  <si>
    <t>Sergeant:</t>
  </si>
  <si>
    <t>Lieutenant:</t>
  </si>
  <si>
    <t>Captain or Sheriff:</t>
  </si>
  <si>
    <t>ATTACHMENT 1 - SOP 9.6.2 - EFF . 1-1-97</t>
  </si>
  <si>
    <t>Reasons for Termination:</t>
  </si>
  <si>
    <t>Case Number:</t>
  </si>
  <si>
    <t>Instructions: Any deputy who used force at Physical Control through Deadly Physical Force shall complete the department Use of Physical Force Report; form DT-1, before the conclusion of the shift. Please type or print this form and attach copies of all supplemental information if necessary. Forward it, with a copy of any completed police reports on the incident to shift's assigned sergeant.</t>
  </si>
  <si>
    <t>Suspects Name:</t>
  </si>
  <si>
    <t>Division:</t>
  </si>
  <si>
    <t>Corrections Incident Number:</t>
  </si>
  <si>
    <t>INCIDENT</t>
  </si>
  <si>
    <t>Level of Force Used:</t>
  </si>
  <si>
    <t>Method Applied:</t>
  </si>
  <si>
    <t>Threats Resistance Level:</t>
  </si>
  <si>
    <t>First Aid Given:</t>
  </si>
  <si>
    <t>Threat's Known Injuries (Explain)</t>
  </si>
  <si>
    <t>First Aid Provider:</t>
  </si>
  <si>
    <t>Threats Injuries Claimed (Explain Below)</t>
  </si>
  <si>
    <t>DT-1</t>
  </si>
  <si>
    <t>EVOC 2</t>
  </si>
  <si>
    <t xml:space="preserve">Instructions: All officers who deploy spike strips (Stinger) or implement P.I.T for the purpose of terminating a violator pursuit shall complete this form by the conclusion of the shift and shall attach a copy to the criminal report.  Circle which action was used i.e Spike or P.I.T.  Use additional form in case both were used.
</t>
  </si>
  <si>
    <t>Initial Violation:</t>
  </si>
  <si>
    <t>ReasonsTerminated</t>
  </si>
  <si>
    <t>Violator Identified (Prior)</t>
  </si>
  <si>
    <t>Violator Identified (During)</t>
  </si>
  <si>
    <t>Violator Stopped</t>
  </si>
  <si>
    <t>Violator Eluded</t>
  </si>
  <si>
    <t>Violator MVA</t>
  </si>
  <si>
    <t>Violator Left Scene</t>
  </si>
  <si>
    <t>Violator Fled on Foot</t>
  </si>
  <si>
    <t>Pursuit Too Dangerous</t>
  </si>
  <si>
    <t>Status / Information Changed</t>
  </si>
  <si>
    <t>Deputy MVA</t>
  </si>
  <si>
    <t>Deputy Car Defective</t>
  </si>
  <si>
    <t>OIC Terminated</t>
  </si>
  <si>
    <t>Arrived at Scene</t>
  </si>
  <si>
    <t>Category</t>
  </si>
  <si>
    <t>Emergency Pursuit</t>
  </si>
  <si>
    <t>Violator Pursuit</t>
  </si>
  <si>
    <t>ReasonStarted</t>
  </si>
  <si>
    <t>Officer Assist / Cover</t>
  </si>
  <si>
    <t>Criminal UCR Code No.</t>
  </si>
  <si>
    <t>Yes</t>
  </si>
  <si>
    <t>No</t>
  </si>
  <si>
    <t>YesNo</t>
  </si>
  <si>
    <t>Position</t>
  </si>
  <si>
    <t>Primary</t>
  </si>
  <si>
    <t>Secondary No 1</t>
  </si>
  <si>
    <t>Secondary No 2</t>
  </si>
  <si>
    <t>Lighting</t>
  </si>
  <si>
    <t>DayLight</t>
  </si>
  <si>
    <t>Overcast</t>
  </si>
  <si>
    <t>Dawn/Dusk</t>
  </si>
  <si>
    <t>Night</t>
  </si>
  <si>
    <t>Weather</t>
  </si>
  <si>
    <t>Rain/Hail</t>
  </si>
  <si>
    <t>Snowing</t>
  </si>
  <si>
    <t>Wind Gust</t>
  </si>
  <si>
    <t>Fog</t>
  </si>
  <si>
    <t>Dry/Clear</t>
  </si>
  <si>
    <t>RoadSurface</t>
  </si>
  <si>
    <t>Pavement</t>
  </si>
  <si>
    <t>Dirt/Gravel</t>
  </si>
  <si>
    <t>Dry</t>
  </si>
  <si>
    <t>Wet</t>
  </si>
  <si>
    <t>Icy</t>
  </si>
  <si>
    <t>Snow</t>
  </si>
  <si>
    <t>Whipple</t>
  </si>
  <si>
    <t>WhipplJD@jacksoncounty.org</t>
  </si>
  <si>
    <t>Lieutenant</t>
  </si>
  <si>
    <t>Captain</t>
  </si>
  <si>
    <t>Sheriff</t>
  </si>
  <si>
    <t>Kennedy, R</t>
  </si>
  <si>
    <t>Snaith</t>
  </si>
  <si>
    <t>Sickler</t>
  </si>
  <si>
    <t>KennedRD@jacksoncounty.org</t>
  </si>
  <si>
    <t>SnaithTJ@jacksoncounty.org</t>
  </si>
  <si>
    <t>SickleNJ@jacksoncounty.org</t>
  </si>
  <si>
    <t>Date</t>
  </si>
  <si>
    <t>Time</t>
  </si>
  <si>
    <t>InitialViolation</t>
  </si>
  <si>
    <t>OtherTraffic</t>
  </si>
  <si>
    <t>TermTime</t>
  </si>
  <si>
    <t>OtherUnits</t>
  </si>
  <si>
    <t>OICName</t>
  </si>
  <si>
    <t>SgtDate</t>
  </si>
  <si>
    <t>LTDate</t>
  </si>
  <si>
    <t>CptDate</t>
  </si>
  <si>
    <t>DepJCNum</t>
  </si>
  <si>
    <t>VehNum</t>
  </si>
  <si>
    <t>SuspectSpeed</t>
  </si>
  <si>
    <t>DepSpeed</t>
  </si>
  <si>
    <t>OICJCNum</t>
  </si>
  <si>
    <t>TermSelected</t>
  </si>
  <si>
    <t>Route</t>
  </si>
  <si>
    <t>CaseNum</t>
  </si>
  <si>
    <t>ReqDep</t>
  </si>
  <si>
    <t>CreateFormSelection</t>
  </si>
  <si>
    <t>Evoc 1</t>
  </si>
  <si>
    <t>DT 1</t>
  </si>
  <si>
    <t>CID Referal</t>
  </si>
  <si>
    <t>Evoc 2</t>
  </si>
  <si>
    <t>Started:</t>
  </si>
  <si>
    <t xml:space="preserve">Ended: </t>
  </si>
  <si>
    <t>Intervention Type / Time</t>
  </si>
  <si>
    <t>RESULTS:</t>
  </si>
  <si>
    <t xml:space="preserve">Location Used: </t>
  </si>
  <si>
    <t>Suspect Vehicle Make/Model</t>
  </si>
  <si>
    <t>CONDITIONS:</t>
  </si>
  <si>
    <t xml:space="preserve">Weather: </t>
  </si>
  <si>
    <t>Suspect Stop:</t>
  </si>
  <si>
    <t>Successful:</t>
  </si>
  <si>
    <t>Suspect Speed:</t>
  </si>
  <si>
    <t>Tires Deflated:</t>
  </si>
  <si>
    <t>Used Multiple Times:</t>
  </si>
  <si>
    <t>If multiple applications, Explain below:</t>
  </si>
  <si>
    <t>Property Damage / Injury as a result; Explain below:</t>
  </si>
  <si>
    <t>Murder Suspect</t>
  </si>
  <si>
    <t>None</t>
  </si>
  <si>
    <t>I5 &gt; E. Pine St &gt; Table Rock &gt; Vilas &gt; Rainbow. Terminated @ Rainbvow with Pit.</t>
  </si>
  <si>
    <t>Light</t>
  </si>
  <si>
    <t>Broken L Brake Light</t>
  </si>
  <si>
    <t>here &gt; there &gt; back</t>
  </si>
  <si>
    <t>Crazy Amount of Cars</t>
  </si>
  <si>
    <t>OIC Terminated,Pursuit Too Dangerous,Status / Information Changed</t>
  </si>
  <si>
    <r>
      <t>INSTRUCTIONS: All officers who activate a pursuit as defined in this policy shall complete the Police Pursuit Incident Reporting Form, EVOC 1, by the conclusion of the shift</t>
    </r>
    <r>
      <rPr>
        <sz val="11"/>
        <color theme="1"/>
        <rFont val="Calibri"/>
        <family val="2"/>
        <scheme val="minor"/>
      </rPr>
      <t>.  The officer shall forward it, with a copy of any completed police reports on the incident, to the shift supervisor.  List supplemental information such as any unnamed witnesses, etc.</t>
    </r>
  </si>
  <si>
    <t>17-1</t>
  </si>
  <si>
    <t>Assist Officer</t>
  </si>
  <si>
    <t>Brake light out</t>
  </si>
  <si>
    <t>this is th route I took</t>
  </si>
  <si>
    <t>minimal</t>
  </si>
  <si>
    <t>Deputy Car Defective,Violator Eluded,Violator Identified (During)</t>
  </si>
  <si>
    <t>4S4,4T4</t>
  </si>
  <si>
    <t>These are some comments about this chase.</t>
  </si>
  <si>
    <t>17-2</t>
  </si>
  <si>
    <t>17-3</t>
  </si>
  <si>
    <t>PatrolApproved</t>
  </si>
  <si>
    <t>SergeantApproved</t>
  </si>
  <si>
    <t>LieutenantApproved</t>
  </si>
  <si>
    <t>CaptainApproved</t>
  </si>
  <si>
    <t>Team</t>
  </si>
  <si>
    <t>TeamNum</t>
  </si>
  <si>
    <t>Team Number:</t>
  </si>
  <si>
    <t>17-1234</t>
  </si>
  <si>
    <t>Traffic Violation</t>
  </si>
  <si>
    <t>Broken Taillight</t>
  </si>
  <si>
    <t>I drove all around this area.</t>
  </si>
  <si>
    <t>4S4</t>
  </si>
  <si>
    <t>No Comments to Add.</t>
  </si>
  <si>
    <t>17-60</t>
  </si>
  <si>
    <t>Broken Tag Light</t>
  </si>
  <si>
    <t>ScowSR@jacksoncounty.org</t>
  </si>
  <si>
    <t>Hermanmr@jacksoncounty.org</t>
  </si>
  <si>
    <t>Division</t>
  </si>
  <si>
    <t>Traffic</t>
  </si>
  <si>
    <t>Detectives</t>
  </si>
  <si>
    <t>Patrol</t>
  </si>
  <si>
    <t>Suppoort</t>
  </si>
  <si>
    <t>Support</t>
  </si>
  <si>
    <t>FormType</t>
  </si>
  <si>
    <t>17-13</t>
  </si>
  <si>
    <t>Drove in this general area</t>
  </si>
  <si>
    <t>this is the route I took</t>
  </si>
  <si>
    <t>SupComments</t>
  </si>
  <si>
    <t>SergeantDenied</t>
  </si>
  <si>
    <t>LieutenantDenied</t>
  </si>
  <si>
    <t>CaptainDenied</t>
  </si>
  <si>
    <t>17-12345</t>
  </si>
  <si>
    <t>This is terrible kill yourself</t>
  </si>
  <si>
    <t>THis is the worst lunch I hjave heave had. Dont you know I have had diareah since easters.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</si>
</sst>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2">
    <xf numFmtId="0" fontId="0" fillId="0" borderId="0" xfId="0"/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9" xfId="0" applyFont="1" applyBorder="1"/>
    <xf numFmtId="0" fontId="0" fillId="0" borderId="10" xfId="0" applyBorder="1"/>
    <xf numFmtId="14" fontId="0" fillId="0" borderId="0" xfId="0" applyNumberFormat="1"/>
    <xf numFmtId="0" fontId="0" fillId="0" borderId="13" xfId="0" applyBorder="1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20" xfId="0" applyBorder="1"/>
    <xf numFmtId="0" fontId="0" fillId="0" borderId="20" xfId="0" applyBorder="1" applyAlignment="1"/>
    <xf numFmtId="0" fontId="0" fillId="0" borderId="12" xfId="0" applyBorder="1"/>
    <xf numFmtId="0" fontId="0" fillId="0" borderId="14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23" xfId="0" applyBorder="1" applyAlignment="1"/>
    <xf numFmtId="0" fontId="0" fillId="0" borderId="28" xfId="0" applyBorder="1" applyAlignment="1"/>
    <xf numFmtId="0" fontId="0" fillId="0" borderId="2" xfId="0" applyBorder="1" applyAlignment="1"/>
    <xf numFmtId="0" fontId="0" fillId="0" borderId="27" xfId="0" applyFont="1" applyBorder="1"/>
    <xf numFmtId="0" fontId="0" fillId="0" borderId="23" xfId="0" applyBorder="1" applyAlignment="1">
      <alignment horizontal="center"/>
    </xf>
    <xf numFmtId="0" fontId="0" fillId="0" borderId="19" xfId="0" applyFill="1" applyBorder="1" applyAlignment="1"/>
    <xf numFmtId="49" fontId="0" fillId="0" borderId="0" xfId="0" applyNumberFormat="1"/>
    <xf numFmtId="0" fontId="0" fillId="0" borderId="23" xfId="0" applyBorder="1" applyAlignment="1">
      <alignment horizontal="center"/>
    </xf>
    <xf numFmtId="0" fontId="0" fillId="0" borderId="20" xfId="0" applyFill="1" applyBorder="1" applyAlignment="1"/>
    <xf numFmtId="0" fontId="0" fillId="0" borderId="20" xfId="0" applyFill="1" applyBorder="1" applyAlignment="1">
      <alignment horizontal="left" vertical="top" wrapText="1"/>
    </xf>
    <xf numFmtId="0" fontId="0" fillId="2" borderId="27" xfId="0" applyFont="1" applyFill="1" applyBorder="1"/>
    <xf numFmtId="0" fontId="0" fillId="2" borderId="20" xfId="0" applyFill="1" applyBorder="1"/>
    <xf numFmtId="0" fontId="0" fillId="2" borderId="32" xfId="0" applyFill="1" applyBorder="1"/>
    <xf numFmtId="0" fontId="0" fillId="0" borderId="20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1"/>
    <xf numFmtId="0" fontId="0" fillId="0" borderId="0" xfId="0" applyNumberFormat="1"/>
    <xf numFmtId="0" fontId="0" fillId="0" borderId="0" xfId="0" applyFill="1"/>
    <xf numFmtId="14" fontId="0" fillId="0" borderId="0" xfId="0" applyNumberFormat="1" applyFill="1"/>
    <xf numFmtId="0" fontId="0" fillId="0" borderId="0" xfId="0" applyAlignment="1">
      <alignment wrapText="1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1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0" fillId="0" borderId="9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23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20" xfId="0" applyFill="1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right"/>
    </xf>
    <xf numFmtId="0" fontId="0" fillId="4" borderId="27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4" xfId="0" applyBorder="1" applyAlignment="1">
      <alignment horizontal="center" vertical="top" wrapText="1"/>
    </xf>
    <xf numFmtId="0" fontId="0" fillId="0" borderId="25" xfId="0" applyBorder="1" applyAlignment="1">
      <alignment horizontal="center" vertical="top" wrapText="1"/>
    </xf>
    <xf numFmtId="0" fontId="0" fillId="0" borderId="26" xfId="0" applyBorder="1" applyAlignment="1">
      <alignment horizontal="center" vertical="top" wrapText="1"/>
    </xf>
    <xf numFmtId="0" fontId="0" fillId="0" borderId="30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2" xfId="0" applyBorder="1" applyAlignment="1">
      <alignment horizontal="center" vertical="top" wrapText="1"/>
    </xf>
    <xf numFmtId="0" fontId="0" fillId="0" borderId="23" xfId="0" applyBorder="1" applyAlignment="1">
      <alignment horizontal="center" vertical="top" wrapText="1"/>
    </xf>
    <xf numFmtId="0" fontId="0" fillId="0" borderId="33" xfId="0" applyBorder="1" applyAlignment="1">
      <alignment horizontal="center" vertical="top" wrapText="1"/>
    </xf>
    <xf numFmtId="0" fontId="0" fillId="0" borderId="27" xfId="0" applyBorder="1" applyAlignment="1">
      <alignment horizontal="center" vertical="center" textRotation="180"/>
    </xf>
    <xf numFmtId="0" fontId="0" fillId="0" borderId="20" xfId="0" applyBorder="1" applyAlignment="1">
      <alignment horizontal="center" vertical="center" textRotation="180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0" fillId="0" borderId="20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2" borderId="31" xfId="0" applyFill="1" applyBorder="1" applyAlignment="1">
      <alignment horizontal="left"/>
    </xf>
    <xf numFmtId="0" fontId="0" fillId="2" borderId="27" xfId="0" applyFill="1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2" borderId="27" xfId="0" applyFont="1" applyFill="1" applyBorder="1" applyAlignment="1">
      <alignment horizontal="left"/>
    </xf>
    <xf numFmtId="0" fontId="0" fillId="2" borderId="20" xfId="0" applyFont="1" applyFill="1" applyBorder="1" applyAlignment="1">
      <alignment horizontal="left"/>
    </xf>
    <xf numFmtId="0" fontId="0" fillId="0" borderId="28" xfId="0" applyBorder="1" applyAlignment="1">
      <alignment horizontal="center"/>
    </xf>
    <xf numFmtId="0" fontId="0" fillId="0" borderId="27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28" xfId="0" applyBorder="1" applyAlignment="1">
      <alignment horizontal="left" vertical="top" wrapText="1"/>
    </xf>
    <xf numFmtId="0" fontId="0" fillId="2" borderId="15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0" fontId="2" fillId="0" borderId="24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1" fillId="5" borderId="27" xfId="0" applyFont="1" applyFill="1" applyBorder="1" applyAlignment="1">
      <alignment horizontal="center" vertical="center" wrapText="1"/>
    </xf>
    <xf numFmtId="0" fontId="1" fillId="5" borderId="20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14" fontId="0" fillId="0" borderId="20" xfId="0" applyNumberFormat="1" applyBorder="1" applyAlignment="1">
      <alignment horizontal="center"/>
    </xf>
    <xf numFmtId="0" fontId="3" fillId="3" borderId="18" xfId="0" applyFont="1" applyFill="1" applyBorder="1" applyAlignment="1">
      <alignment horizontal="center"/>
    </xf>
    <xf numFmtId="0" fontId="3" fillId="3" borderId="16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0" borderId="27" xfId="0" applyFill="1" applyBorder="1" applyAlignment="1">
      <alignment horizontal="left" vertical="top" wrapText="1"/>
    </xf>
    <xf numFmtId="0" fontId="0" fillId="0" borderId="20" xfId="0" applyFill="1" applyBorder="1" applyAlignment="1">
      <alignment horizontal="left" vertical="top" wrapText="1"/>
    </xf>
    <xf numFmtId="0" fontId="0" fillId="4" borderId="20" xfId="0" applyFill="1" applyBorder="1" applyAlignment="1">
      <alignment horizontal="center" vertical="top" wrapText="1"/>
    </xf>
    <xf numFmtId="0" fontId="0" fillId="4" borderId="28" xfId="0" applyFill="1" applyBorder="1" applyAlignment="1">
      <alignment horizontal="center" vertical="top" wrapText="1"/>
    </xf>
    <xf numFmtId="0" fontId="0" fillId="0" borderId="27" xfId="0" applyFill="1" applyBorder="1" applyAlignment="1">
      <alignment horizontal="left"/>
    </xf>
    <xf numFmtId="0" fontId="0" fillId="0" borderId="20" xfId="0" applyFill="1" applyBorder="1" applyAlignment="1">
      <alignment horizontal="left"/>
    </xf>
    <xf numFmtId="0" fontId="0" fillId="4" borderId="18" xfId="0" applyFont="1" applyFill="1" applyBorder="1" applyAlignment="1">
      <alignment horizontal="center"/>
    </xf>
    <xf numFmtId="0" fontId="0" fillId="4" borderId="16" xfId="0" applyFont="1" applyFill="1" applyBorder="1" applyAlignment="1">
      <alignment horizontal="center"/>
    </xf>
    <xf numFmtId="0" fontId="0" fillId="4" borderId="17" xfId="0" applyFont="1" applyFill="1" applyBorder="1" applyAlignment="1">
      <alignment horizontal="center"/>
    </xf>
    <xf numFmtId="0" fontId="0" fillId="0" borderId="18" xfId="0" applyFont="1" applyBorder="1" applyAlignment="1">
      <alignment horizontal="left"/>
    </xf>
    <xf numFmtId="0" fontId="0" fillId="0" borderId="16" xfId="0" applyFont="1" applyBorder="1" applyAlignment="1">
      <alignment horizontal="left"/>
    </xf>
    <xf numFmtId="0" fontId="0" fillId="0" borderId="16" xfId="0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0" fillId="0" borderId="29" xfId="0" applyFill="1" applyBorder="1" applyAlignment="1">
      <alignment horizontal="center" vertical="top" wrapText="1"/>
    </xf>
    <xf numFmtId="0" fontId="0" fillId="0" borderId="25" xfId="0" applyFill="1" applyBorder="1" applyAlignment="1">
      <alignment horizontal="center" vertical="top" wrapText="1"/>
    </xf>
    <xf numFmtId="0" fontId="0" fillId="0" borderId="26" xfId="0" applyFill="1" applyBorder="1" applyAlignment="1">
      <alignment horizontal="center" vertical="top" wrapText="1"/>
    </xf>
    <xf numFmtId="0" fontId="0" fillId="0" borderId="1" xfId="0" applyFill="1" applyBorder="1" applyAlignment="1">
      <alignment horizontal="center" vertical="top" wrapText="1"/>
    </xf>
    <xf numFmtId="0" fontId="0" fillId="0" borderId="0" xfId="0" applyFill="1" applyBorder="1" applyAlignment="1">
      <alignment horizontal="center" vertical="top" wrapText="1"/>
    </xf>
    <xf numFmtId="0" fontId="0" fillId="0" borderId="2" xfId="0" applyFill="1" applyBorder="1" applyAlignment="1">
      <alignment horizontal="center" vertical="top" wrapText="1"/>
    </xf>
    <xf numFmtId="0" fontId="0" fillId="0" borderId="21" xfId="0" applyFill="1" applyBorder="1" applyAlignment="1">
      <alignment horizontal="center" vertical="top" wrapText="1"/>
    </xf>
    <xf numFmtId="0" fontId="0" fillId="0" borderId="23" xfId="0" applyFill="1" applyBorder="1" applyAlignment="1">
      <alignment horizontal="center" vertical="top" wrapText="1"/>
    </xf>
    <xf numFmtId="0" fontId="0" fillId="0" borderId="33" xfId="0" applyFill="1" applyBorder="1" applyAlignment="1">
      <alignment horizontal="center" vertical="top" wrapText="1"/>
    </xf>
    <xf numFmtId="0" fontId="0" fillId="0" borderId="12" xfId="0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0" fillId="0" borderId="27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29" xfId="0" applyFill="1" applyBorder="1" applyAlignment="1">
      <alignment horizontal="left" vertical="top" wrapText="1"/>
    </xf>
    <xf numFmtId="0" fontId="0" fillId="0" borderId="25" xfId="0" applyFill="1" applyBorder="1" applyAlignment="1">
      <alignment horizontal="left" vertical="top" wrapText="1"/>
    </xf>
    <xf numFmtId="0" fontId="0" fillId="0" borderId="26" xfId="0" applyFill="1" applyBorder="1" applyAlignment="1">
      <alignment horizontal="left" vertical="top" wrapText="1"/>
    </xf>
    <xf numFmtId="0" fontId="0" fillId="0" borderId="1" xfId="0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0" borderId="2" xfId="0" applyFill="1" applyBorder="1" applyAlignment="1">
      <alignment horizontal="left" vertical="top" wrapText="1"/>
    </xf>
    <xf numFmtId="0" fontId="0" fillId="0" borderId="21" xfId="0" applyFill="1" applyBorder="1" applyAlignment="1">
      <alignment horizontal="left" vertical="top" wrapText="1"/>
    </xf>
    <xf numFmtId="0" fontId="0" fillId="0" borderId="23" xfId="0" applyFill="1" applyBorder="1" applyAlignment="1">
      <alignment horizontal="left" vertical="top" wrapText="1"/>
    </xf>
    <xf numFmtId="0" fontId="0" fillId="0" borderId="33" xfId="0" applyFill="1" applyBorder="1" applyAlignment="1">
      <alignment horizontal="left" vertical="top" wrapText="1"/>
    </xf>
    <xf numFmtId="0" fontId="0" fillId="0" borderId="23" xfId="0" applyBorder="1" applyAlignment="1">
      <alignment horizontal="right"/>
    </xf>
    <xf numFmtId="0" fontId="2" fillId="0" borderId="0" xfId="0" applyFont="1" applyBorder="1" applyAlignment="1">
      <alignment horizontal="center" vertical="center" wrapText="1"/>
    </xf>
    <xf numFmtId="0" fontId="1" fillId="2" borderId="27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0" borderId="15" xfId="0" applyFill="1" applyBorder="1" applyAlignment="1">
      <alignment horizontal="left"/>
    </xf>
    <xf numFmtId="0" fontId="0" fillId="0" borderId="19" xfId="0" applyFill="1" applyBorder="1" applyAlignment="1">
      <alignment horizontal="left"/>
    </xf>
    <xf numFmtId="0" fontId="0" fillId="0" borderId="16" xfId="0" applyFill="1" applyBorder="1" applyAlignment="1">
      <alignment horizontal="left"/>
    </xf>
  </cellXfs>
  <cellStyles count="2">
    <cellStyle name="Hyperlink" xfId="1" builtinId="8"/>
    <cellStyle name="Normal" xfId="0" builtinId="0"/>
  </cellStyles>
  <dxfs count="3">
    <dxf>
      <numFmt numFmtId="0" formatCode="General"/>
    </dxf>
    <dxf>
      <numFmt numFmtId="30" formatCode="@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180976</xdr:colOff>
      <xdr:row>0</xdr:row>
      <xdr:rowOff>171450</xdr:rowOff>
    </xdr:from>
    <xdr:to>
      <xdr:col>8</xdr:col>
      <xdr:colOff>361950</xdr:colOff>
      <xdr:row>7</xdr:row>
      <xdr:rowOff>170346</xdr:rowOff>
    </xdr:to>
    <xdr:pic>
      <xdr:nvPicPr>
        <xdr:cNvPr id="3" name="Picture 2" descr="http://okb.oregon.gov/wp-content/uploads/2015/11/jackson-sheriff-logo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6" y="171450"/>
          <a:ext cx="5057774" cy="1332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180976</xdr:colOff>
      <xdr:row>0</xdr:row>
      <xdr:rowOff>171450</xdr:rowOff>
    </xdr:from>
    <xdr:ext cx="5057774" cy="1332396"/>
    <xdr:pic>
      <xdr:nvPicPr>
        <xdr:cNvPr id="2" name="Picture 1" descr="http://okb.oregon.gov/wp-content/uploads/2015/11/jackson-sheriff-logo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6" y="171450"/>
          <a:ext cx="5057774" cy="1332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180976</xdr:colOff>
      <xdr:row>0</xdr:row>
      <xdr:rowOff>171450</xdr:rowOff>
    </xdr:from>
    <xdr:to>
      <xdr:col>8</xdr:col>
      <xdr:colOff>361950</xdr:colOff>
      <xdr:row>7</xdr:row>
      <xdr:rowOff>170346</xdr:rowOff>
    </xdr:to>
    <xdr:pic>
      <xdr:nvPicPr>
        <xdr:cNvPr id="2" name="Picture 1" descr="http://okb.oregon.gov/wp-content/uploads/2015/11/jackson-sheriff-logo.p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6" y="171450"/>
          <a:ext cx="5057774" cy="1332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180976</xdr:colOff>
      <xdr:row>0</xdr:row>
      <xdr:rowOff>171450</xdr:rowOff>
    </xdr:from>
    <xdr:to>
      <xdr:col>8</xdr:col>
      <xdr:colOff>361950</xdr:colOff>
      <xdr:row>7</xdr:row>
      <xdr:rowOff>170346</xdr:rowOff>
    </xdr:to>
    <xdr:pic>
      <xdr:nvPicPr>
        <xdr:cNvPr id="2" name="Picture 1" descr="http://okb.oregon.gov/wp-content/uploads/2015/11/jackson-sheriff-logo.pn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6" y="171450"/>
          <a:ext cx="5057774" cy="1332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Emails" displayName="tbl_Emails" ref="A1:E62" totalsRowShown="0">
  <autoFilter ref="A1:E62" xr:uid="{00000000-0009-0000-0100-000001000000}">
    <filterColumn colId="2">
      <filters>
        <filter val="Deputy"/>
      </filters>
    </filterColumn>
    <filterColumn colId="4">
      <filters>
        <filter val="Patrol"/>
      </filters>
    </filterColumn>
  </autoFilter>
  <sortState ref="A2:D62">
    <sortCondition ref="C1:C62"/>
  </sortState>
  <tableColumns count="5">
    <tableColumn id="1" xr3:uid="{00000000-0010-0000-0000-000001000000}" name="name"/>
    <tableColumn id="2" xr3:uid="{00000000-0010-0000-0000-000002000000}" name="email"/>
    <tableColumn id="3" xr3:uid="{00000000-0010-0000-0000-000003000000}" name="position"/>
    <tableColumn id="4" xr3:uid="{00000000-0010-0000-0000-000004000000}" name="Team" dataDxfId="2"/>
    <tableColumn id="5" xr3:uid="{00000000-0010-0000-0000-000005000000}" name="Divis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bl_Crimes" displayName="tbl_Crimes" ref="G1:G49" totalsRowShown="0">
  <autoFilter ref="G1:G49" xr:uid="{00000000-0009-0000-0100-000003000000}"/>
  <tableColumns count="1">
    <tableColumn id="1" xr3:uid="{00000000-0010-0000-0100-000001000000}" name="Crim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bl_TermReasons" displayName="tbl_TermReasons" ref="I1:I14" totalsRowShown="0">
  <autoFilter ref="I1:I14" xr:uid="{00000000-0009-0000-0100-000004000000}"/>
  <tableColumns count="1">
    <tableColumn id="1" xr3:uid="{00000000-0010-0000-0200-000001000000}" name="ReasonsTerminat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bl_Cat" displayName="tbl_Cat" ref="K1:K3" totalsRowShown="0">
  <autoFilter ref="K1:K3" xr:uid="{00000000-0009-0000-0100-000005000000}"/>
  <tableColumns count="1">
    <tableColumn id="1" xr3:uid="{00000000-0010-0000-0300-000001000000}" name="Catego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bl_StartReason" displayName="tbl_StartReason" ref="M1:M3" totalsRowShown="0">
  <autoFilter ref="M1:M3" xr:uid="{00000000-0009-0000-0100-000006000000}"/>
  <tableColumns count="1">
    <tableColumn id="1" xr3:uid="{00000000-0010-0000-0400-000001000000}" name="ReasonStarted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bl_YesNo" displayName="tbl_YesNo" ref="O1:O3" totalsRowShown="0">
  <autoFilter ref="O1:O3" xr:uid="{00000000-0009-0000-0100-000007000000}"/>
  <tableColumns count="1">
    <tableColumn id="1" xr3:uid="{00000000-0010-0000-0500-000001000000}" name="YesN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bl_Position" displayName="tbl_Position" ref="Q1:Q4" totalsRowShown="0">
  <autoFilter ref="Q1:Q4" xr:uid="{00000000-0009-0000-0100-000008000000}"/>
  <tableColumns count="1">
    <tableColumn id="1" xr3:uid="{00000000-0010-0000-0600-000001000000}" name="Posi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bl_Lighting" displayName="tbl_Lighting" ref="S1:S5" totalsRowShown="0">
  <autoFilter ref="S1:S5" xr:uid="{00000000-0009-0000-0100-000009000000}"/>
  <tableColumns count="1">
    <tableColumn id="1" xr3:uid="{00000000-0010-0000-0700-000001000000}" name="Lighting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8000000}" name="tbl_Weather" displayName="tbl_Weather" ref="U1:U6" totalsRowShown="0">
  <autoFilter ref="U1:U6" xr:uid="{00000000-0009-0000-0100-00000A000000}"/>
  <tableColumns count="1">
    <tableColumn id="1" xr3:uid="{00000000-0010-0000-0800-000001000000}" name="Weather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bl_RoadSurface" displayName="tbl_RoadSurface" ref="W1:W7" totalsRowShown="0">
  <autoFilter ref="W1:W7" xr:uid="{00000000-0009-0000-0100-00000B000000}"/>
  <tableColumns count="1">
    <tableColumn id="1" xr3:uid="{00000000-0010-0000-0900-000001000000}" name="RoadSurfac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tbl_CreateFormSelect" displayName="tbl_CreateFormSelect" ref="Y1:Y5" totalsRowShown="0">
  <autoFilter ref="Y1:Y5" xr:uid="{00000000-0009-0000-0100-00000D000000}"/>
  <sortState ref="Y2:Y5">
    <sortCondition ref="Y2"/>
  </sortState>
  <tableColumns count="1">
    <tableColumn id="1" xr3:uid="{00000000-0010-0000-0A00-000001000000}" name="CreateFormSelection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e2" displayName="Table2" ref="A1:L2" totalsRowShown="0">
  <autoFilter ref="A1:L2" xr:uid="{00000000-0009-0000-0100-000002000000}"/>
  <tableColumns count="12">
    <tableColumn id="2" xr3:uid="{00000000-0010-0000-0B00-000002000000}" name="CaseNum"/>
    <tableColumn id="1" xr3:uid="{00000000-0010-0000-0B00-000001000000}" name="ReqDep"/>
    <tableColumn id="3" xr3:uid="{00000000-0010-0000-0B00-000003000000}" name="Crimes"/>
    <tableColumn id="5" xr3:uid="{00000000-0010-0000-0B00-000005000000}" name="ReqDate"/>
    <tableColumn id="6" xr3:uid="{00000000-0010-0000-0B00-000006000000}" name="Sergeant"/>
    <tableColumn id="12" xr3:uid="{00000000-0010-0000-0B00-00000C000000}" name="Corporal"/>
    <tableColumn id="13" xr3:uid="{00000000-0010-0000-0B00-00000D000000}" name="SupApproved"/>
    <tableColumn id="7" xr3:uid="{00000000-0010-0000-0B00-000007000000}" name="SupDeclined"/>
    <tableColumn id="8" xr3:uid="{00000000-0010-0000-0B00-000008000000}" name="CIDAccept"/>
    <tableColumn id="9" xr3:uid="{00000000-0010-0000-0B00-000009000000}" name="CIDDecline"/>
    <tableColumn id="10" xr3:uid="{00000000-0010-0000-0B00-00000A000000}" name="Comments"/>
    <tableColumn id="11" xr3:uid="{00000000-0010-0000-0B00-00000B000000}" name="RowNum">
      <calculatedColumnFormula>ROW()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C000000}" name="Table12" displayName="Table12" ref="A1:AN8" totalsRowShown="0">
  <autoFilter ref="A1:AN8" xr:uid="{00000000-0009-0000-0100-00000C000000}"/>
  <tableColumns count="40">
    <tableColumn id="30" xr3:uid="{00000000-0010-0000-0C00-00001E000000}" name="CaseNum" dataDxfId="1"/>
    <tableColumn id="1" xr3:uid="{00000000-0010-0000-0C00-000001000000}" name="Date"/>
    <tableColumn id="2" xr3:uid="{00000000-0010-0000-0C00-000002000000}" name="Time"/>
    <tableColumn id="3" xr3:uid="{00000000-0010-0000-0C00-000003000000}" name="Deputy"/>
    <tableColumn id="4" xr3:uid="{00000000-0010-0000-0C00-000004000000}" name="DepJCNum"/>
    <tableColumn id="5" xr3:uid="{00000000-0010-0000-0C00-000005000000}" name="Position"/>
    <tableColumn id="6" xr3:uid="{00000000-0010-0000-0C00-000006000000}" name="VehNum"/>
    <tableColumn id="7" xr3:uid="{00000000-0010-0000-0C00-000007000000}" name="Category"/>
    <tableColumn id="8" xr3:uid="{00000000-0010-0000-0C00-000008000000}" name="ReasonStarted"/>
    <tableColumn id="9" xr3:uid="{00000000-0010-0000-0C00-000009000000}" name="InitialViolation"/>
    <tableColumn id="29" xr3:uid="{00000000-0010-0000-0C00-00001D000000}" name="Route"/>
    <tableColumn id="10" xr3:uid="{00000000-0010-0000-0C00-00000A000000}" name="Lighting"/>
    <tableColumn id="11" xr3:uid="{00000000-0010-0000-0C00-00000B000000}" name="Weather"/>
    <tableColumn id="12" xr3:uid="{00000000-0010-0000-0C00-00000C000000}" name="RoadSurface"/>
    <tableColumn id="13" xr3:uid="{00000000-0010-0000-0C00-00000D000000}" name="OtherTraffic"/>
    <tableColumn id="14" xr3:uid="{00000000-0010-0000-0C00-00000E000000}" name="TermTime"/>
    <tableColumn id="18" xr3:uid="{00000000-0010-0000-0C00-000012000000}" name="SuspectSpeed"/>
    <tableColumn id="19" xr3:uid="{00000000-0010-0000-0C00-000013000000}" name="DepSpeed"/>
    <tableColumn id="20" xr3:uid="{00000000-0010-0000-0C00-000014000000}" name="OICName"/>
    <tableColumn id="21" xr3:uid="{00000000-0010-0000-0C00-000015000000}" name="OICJCNum"/>
    <tableColumn id="16" xr3:uid="{00000000-0010-0000-0C00-000010000000}" name="TermSelected"/>
    <tableColumn id="15" xr3:uid="{00000000-0010-0000-0C00-00000F000000}" name="OtherUnits"/>
    <tableColumn id="17" xr3:uid="{00000000-0010-0000-0C00-000011000000}" name="Comments"/>
    <tableColumn id="22" xr3:uid="{00000000-0010-0000-0C00-000016000000}" name="Sergeant"/>
    <tableColumn id="24" xr3:uid="{00000000-0010-0000-0C00-000018000000}" name="Lieutenant"/>
    <tableColumn id="26" xr3:uid="{00000000-0010-0000-0C00-00001A000000}" name="Captain"/>
    <tableColumn id="23" xr3:uid="{00000000-0010-0000-0C00-000017000000}" name="SgtDate"/>
    <tableColumn id="25" xr3:uid="{00000000-0010-0000-0C00-000019000000}" name="LTDate"/>
    <tableColumn id="27" xr3:uid="{00000000-0010-0000-0C00-00001B000000}" name="CptDate"/>
    <tableColumn id="37" xr3:uid="{00000000-0010-0000-0C00-000025000000}" name="TeamNum"/>
    <tableColumn id="31" xr3:uid="{00000000-0010-0000-0C00-00001F000000}" name="FormType" dataDxfId="0">
      <calculatedColumnFormula>"Evoc1"</calculatedColumnFormula>
    </tableColumn>
    <tableColumn id="32" xr3:uid="{00000000-0010-0000-0C00-000020000000}" name="PatrolApproved"/>
    <tableColumn id="33" xr3:uid="{00000000-0010-0000-0C00-000021000000}" name="SergeantApproved"/>
    <tableColumn id="38" xr3:uid="{00000000-0010-0000-0C00-000026000000}" name="SergeantDenied"/>
    <tableColumn id="34" xr3:uid="{00000000-0010-0000-0C00-000022000000}" name="LieutenantApproved"/>
    <tableColumn id="39" xr3:uid="{00000000-0010-0000-0C00-000027000000}" name="LieutenantDenied"/>
    <tableColumn id="35" xr3:uid="{00000000-0010-0000-0C00-000023000000}" name="CaptainApproved"/>
    <tableColumn id="40" xr3:uid="{00000000-0010-0000-0C00-000028000000}" name="CaptainDenied"/>
    <tableColumn id="36" xr3:uid="{00000000-0010-0000-0C00-000024000000}" name="SupComments"/>
    <tableColumn id="28" xr3:uid="{00000000-0010-0000-0C00-00001C000000}" name="RowNum">
      <calculatedColumnFormula>ROW()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hyperlink" Target="mailto:Hermanmr@jacksoncounty.org" TargetMode="External"/><Relationship Id="rId1" Type="http://schemas.openxmlformats.org/officeDocument/2006/relationships/hyperlink" Target="mailto:ScowSR@jacksoncounty.org" TargetMode="External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"/>
  <sheetViews>
    <sheetView workbookViewId="0">
      <selection activeCell="Q7" sqref="Q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Y62"/>
  <sheetViews>
    <sheetView workbookViewId="0">
      <selection activeCell="M21" sqref="M21"/>
    </sheetView>
  </sheetViews>
  <sheetFormatPr defaultRowHeight="15" x14ac:dyDescent="0.25"/>
  <cols>
    <col min="1" max="1" width="11.42578125" bestFit="1" customWidth="1"/>
    <col min="2" max="2" width="29.28515625" bestFit="1" customWidth="1"/>
    <col min="3" max="3" width="10.5703125" bestFit="1" customWidth="1"/>
    <col min="4" max="4" width="14" customWidth="1"/>
    <col min="5" max="6" width="15" customWidth="1"/>
    <col min="7" max="7" width="23" bestFit="1" customWidth="1"/>
    <col min="8" max="8" width="2.85546875" customWidth="1"/>
    <col min="9" max="9" width="27.42578125" bestFit="1" customWidth="1"/>
    <col min="10" max="10" width="3.5703125" customWidth="1"/>
    <col min="11" max="11" width="17.7109375" bestFit="1" customWidth="1"/>
    <col min="12" max="12" width="3.28515625" customWidth="1"/>
    <col min="13" max="13" width="21.42578125" bestFit="1" customWidth="1"/>
    <col min="14" max="14" width="4.42578125" customWidth="1"/>
    <col min="15" max="15" width="9.7109375" customWidth="1"/>
    <col min="16" max="16" width="3.28515625" customWidth="1"/>
    <col min="17" max="17" width="14.7109375" bestFit="1" customWidth="1"/>
    <col min="18" max="18" width="3.85546875" customWidth="1"/>
    <col min="19" max="19" width="10.5703125" bestFit="1" customWidth="1"/>
    <col min="20" max="20" width="2.42578125" customWidth="1"/>
    <col min="21" max="21" width="11" customWidth="1"/>
    <col min="22" max="22" width="2.85546875" customWidth="1"/>
    <col min="23" max="23" width="14.140625" customWidth="1"/>
    <col min="24" max="24" width="2.7109375" customWidth="1"/>
    <col min="25" max="25" width="21.85546875" customWidth="1"/>
    <col min="26" max="26" width="2.42578125" customWidth="1"/>
  </cols>
  <sheetData>
    <row r="1" spans="1:25" x14ac:dyDescent="0.25">
      <c r="A1" t="s">
        <v>15</v>
      </c>
      <c r="B1" t="s">
        <v>16</v>
      </c>
      <c r="C1" t="s">
        <v>132</v>
      </c>
      <c r="D1" t="s">
        <v>350</v>
      </c>
      <c r="E1" t="s">
        <v>363</v>
      </c>
      <c r="G1" t="s">
        <v>133</v>
      </c>
      <c r="I1" t="s">
        <v>232</v>
      </c>
      <c r="K1" t="s">
        <v>246</v>
      </c>
      <c r="M1" t="s">
        <v>249</v>
      </c>
      <c r="O1" t="s">
        <v>254</v>
      </c>
      <c r="Q1" t="s">
        <v>255</v>
      </c>
      <c r="S1" t="s">
        <v>259</v>
      </c>
      <c r="U1" t="s">
        <v>264</v>
      </c>
      <c r="W1" t="s">
        <v>270</v>
      </c>
      <c r="Y1" t="s">
        <v>307</v>
      </c>
    </row>
    <row r="2" spans="1:25" hidden="1" x14ac:dyDescent="0.25">
      <c r="A2" t="s">
        <v>283</v>
      </c>
      <c r="B2" t="s">
        <v>286</v>
      </c>
      <c r="C2" t="s">
        <v>280</v>
      </c>
      <c r="D2" s="34"/>
      <c r="E2" t="s">
        <v>368</v>
      </c>
      <c r="G2" t="s">
        <v>134</v>
      </c>
      <c r="I2" t="s">
        <v>233</v>
      </c>
      <c r="K2" t="s">
        <v>247</v>
      </c>
      <c r="M2" t="s">
        <v>250</v>
      </c>
      <c r="O2" t="s">
        <v>252</v>
      </c>
      <c r="Q2" t="s">
        <v>256</v>
      </c>
      <c r="S2" t="s">
        <v>260</v>
      </c>
      <c r="U2" t="s">
        <v>265</v>
      </c>
      <c r="W2" t="s">
        <v>271</v>
      </c>
      <c r="Y2" t="s">
        <v>310</v>
      </c>
    </row>
    <row r="3" spans="1:25" hidden="1" x14ac:dyDescent="0.25">
      <c r="A3" t="s">
        <v>27</v>
      </c>
      <c r="B3" t="s">
        <v>28</v>
      </c>
      <c r="C3" t="s">
        <v>129</v>
      </c>
      <c r="D3" s="34">
        <v>1</v>
      </c>
      <c r="E3" t="s">
        <v>366</v>
      </c>
      <c r="G3" t="s">
        <v>135</v>
      </c>
      <c r="I3" t="s">
        <v>234</v>
      </c>
      <c r="K3" t="s">
        <v>248</v>
      </c>
      <c r="M3" t="s">
        <v>251</v>
      </c>
      <c r="O3" t="s">
        <v>253</v>
      </c>
      <c r="Q3" t="s">
        <v>257</v>
      </c>
      <c r="S3" t="s">
        <v>261</v>
      </c>
      <c r="U3" t="s">
        <v>266</v>
      </c>
      <c r="W3" t="s">
        <v>272</v>
      </c>
      <c r="Y3" t="s">
        <v>309</v>
      </c>
    </row>
    <row r="4" spans="1:25" hidden="1" x14ac:dyDescent="0.25">
      <c r="A4" t="s">
        <v>31</v>
      </c>
      <c r="B4" t="s">
        <v>32</v>
      </c>
      <c r="C4" t="s">
        <v>129</v>
      </c>
      <c r="D4" s="34">
        <v>3</v>
      </c>
      <c r="E4" t="s">
        <v>366</v>
      </c>
      <c r="G4" t="s">
        <v>136</v>
      </c>
      <c r="I4" t="s">
        <v>235</v>
      </c>
      <c r="Q4" t="s">
        <v>258</v>
      </c>
      <c r="S4" t="s">
        <v>262</v>
      </c>
      <c r="U4" t="s">
        <v>267</v>
      </c>
      <c r="W4" t="s">
        <v>273</v>
      </c>
      <c r="Y4" t="s">
        <v>308</v>
      </c>
    </row>
    <row r="5" spans="1:25" hidden="1" x14ac:dyDescent="0.25">
      <c r="A5" t="s">
        <v>61</v>
      </c>
      <c r="B5" t="s">
        <v>62</v>
      </c>
      <c r="C5" t="s">
        <v>129</v>
      </c>
      <c r="D5" s="34">
        <v>4</v>
      </c>
      <c r="E5" t="s">
        <v>366</v>
      </c>
      <c r="G5" t="s">
        <v>137</v>
      </c>
      <c r="I5" t="s">
        <v>236</v>
      </c>
      <c r="S5" t="s">
        <v>263</v>
      </c>
      <c r="U5" t="s">
        <v>268</v>
      </c>
      <c r="W5" t="s">
        <v>274</v>
      </c>
      <c r="Y5" t="s">
        <v>311</v>
      </c>
    </row>
    <row r="6" spans="1:25" hidden="1" x14ac:dyDescent="0.25">
      <c r="A6" t="s">
        <v>95</v>
      </c>
      <c r="B6" t="s">
        <v>96</v>
      </c>
      <c r="C6" t="s">
        <v>129</v>
      </c>
      <c r="D6" s="34"/>
      <c r="E6" t="s">
        <v>364</v>
      </c>
      <c r="G6" t="s">
        <v>138</v>
      </c>
      <c r="I6" t="s">
        <v>237</v>
      </c>
      <c r="U6" t="s">
        <v>269</v>
      </c>
      <c r="W6" t="s">
        <v>275</v>
      </c>
    </row>
    <row r="7" spans="1:25" hidden="1" x14ac:dyDescent="0.25">
      <c r="A7" t="s">
        <v>103</v>
      </c>
      <c r="B7" s="35" t="s">
        <v>361</v>
      </c>
      <c r="C7" t="s">
        <v>129</v>
      </c>
      <c r="D7" s="34">
        <v>2</v>
      </c>
      <c r="E7" t="s">
        <v>366</v>
      </c>
      <c r="G7" t="s">
        <v>139</v>
      </c>
      <c r="I7" t="s">
        <v>238</v>
      </c>
      <c r="W7" t="s">
        <v>276</v>
      </c>
    </row>
    <row r="8" spans="1:25" hidden="1" x14ac:dyDescent="0.25">
      <c r="A8" t="s">
        <v>89</v>
      </c>
      <c r="B8" t="s">
        <v>90</v>
      </c>
      <c r="C8" t="s">
        <v>131</v>
      </c>
      <c r="D8" s="34"/>
      <c r="E8" t="s">
        <v>366</v>
      </c>
      <c r="G8" t="s">
        <v>140</v>
      </c>
      <c r="I8" t="s">
        <v>239</v>
      </c>
    </row>
    <row r="9" spans="1:25" hidden="1" x14ac:dyDescent="0.25">
      <c r="A9" t="s">
        <v>108</v>
      </c>
      <c r="B9" t="s">
        <v>109</v>
      </c>
      <c r="C9" t="s">
        <v>131</v>
      </c>
      <c r="D9" s="34"/>
      <c r="E9" t="s">
        <v>366</v>
      </c>
      <c r="G9" t="s">
        <v>141</v>
      </c>
      <c r="I9" t="s">
        <v>240</v>
      </c>
    </row>
    <row r="10" spans="1:25" x14ac:dyDescent="0.25">
      <c r="A10" t="s">
        <v>17</v>
      </c>
      <c r="B10" t="s">
        <v>18</v>
      </c>
      <c r="C10" t="s">
        <v>0</v>
      </c>
      <c r="D10" s="34"/>
      <c r="E10" t="s">
        <v>366</v>
      </c>
      <c r="G10" t="s">
        <v>142</v>
      </c>
      <c r="I10" t="s">
        <v>241</v>
      </c>
    </row>
    <row r="11" spans="1:25" x14ac:dyDescent="0.25">
      <c r="A11" t="s">
        <v>23</v>
      </c>
      <c r="B11" t="s">
        <v>24</v>
      </c>
      <c r="C11" t="s">
        <v>0</v>
      </c>
      <c r="D11" s="34"/>
      <c r="E11" t="s">
        <v>366</v>
      </c>
      <c r="G11" t="s">
        <v>143</v>
      </c>
      <c r="I11" t="s">
        <v>243</v>
      </c>
    </row>
    <row r="12" spans="1:25" x14ac:dyDescent="0.25">
      <c r="A12" t="s">
        <v>25</v>
      </c>
      <c r="B12" t="s">
        <v>26</v>
      </c>
      <c r="C12" t="s">
        <v>0</v>
      </c>
      <c r="D12" s="34"/>
      <c r="E12" t="s">
        <v>366</v>
      </c>
      <c r="G12" t="s">
        <v>144</v>
      </c>
      <c r="I12" t="s">
        <v>242</v>
      </c>
    </row>
    <row r="13" spans="1:25" x14ac:dyDescent="0.25">
      <c r="A13" t="s">
        <v>33</v>
      </c>
      <c r="B13" t="s">
        <v>34</v>
      </c>
      <c r="C13" t="s">
        <v>0</v>
      </c>
      <c r="D13" s="34"/>
      <c r="E13" t="s">
        <v>366</v>
      </c>
      <c r="G13" t="s">
        <v>145</v>
      </c>
      <c r="I13" t="s">
        <v>244</v>
      </c>
    </row>
    <row r="14" spans="1:25" x14ac:dyDescent="0.25">
      <c r="A14" t="s">
        <v>37</v>
      </c>
      <c r="B14" t="s">
        <v>38</v>
      </c>
      <c r="C14" t="s">
        <v>0</v>
      </c>
      <c r="D14" s="34"/>
      <c r="E14" t="s">
        <v>366</v>
      </c>
      <c r="G14" t="s">
        <v>146</v>
      </c>
      <c r="I14" t="s">
        <v>245</v>
      </c>
    </row>
    <row r="15" spans="1:25" x14ac:dyDescent="0.25">
      <c r="A15" t="s">
        <v>39</v>
      </c>
      <c r="B15" t="s">
        <v>40</v>
      </c>
      <c r="C15" t="s">
        <v>0</v>
      </c>
      <c r="D15" s="34"/>
      <c r="E15" t="s">
        <v>366</v>
      </c>
      <c r="G15" t="s">
        <v>147</v>
      </c>
    </row>
    <row r="16" spans="1:25" x14ac:dyDescent="0.25">
      <c r="A16" t="s">
        <v>41</v>
      </c>
      <c r="B16" t="s">
        <v>42</v>
      </c>
      <c r="C16" t="s">
        <v>0</v>
      </c>
      <c r="D16" s="34"/>
      <c r="E16" t="s">
        <v>366</v>
      </c>
      <c r="G16" t="s">
        <v>148</v>
      </c>
    </row>
    <row r="17" spans="1:7" x14ac:dyDescent="0.25">
      <c r="A17" t="s">
        <v>43</v>
      </c>
      <c r="B17" t="s">
        <v>44</v>
      </c>
      <c r="C17" t="s">
        <v>0</v>
      </c>
      <c r="D17" s="34"/>
      <c r="E17" t="s">
        <v>366</v>
      </c>
      <c r="G17" t="s">
        <v>149</v>
      </c>
    </row>
    <row r="18" spans="1:7" x14ac:dyDescent="0.25">
      <c r="A18" t="s">
        <v>45</v>
      </c>
      <c r="B18" t="s">
        <v>46</v>
      </c>
      <c r="C18" t="s">
        <v>0</v>
      </c>
      <c r="D18" s="34"/>
      <c r="E18" t="s">
        <v>366</v>
      </c>
      <c r="G18" t="s">
        <v>150</v>
      </c>
    </row>
    <row r="19" spans="1:7" x14ac:dyDescent="0.25">
      <c r="A19" t="s">
        <v>47</v>
      </c>
      <c r="B19" t="s">
        <v>48</v>
      </c>
      <c r="C19" t="s">
        <v>0</v>
      </c>
      <c r="D19" s="34"/>
      <c r="E19" t="s">
        <v>366</v>
      </c>
      <c r="G19" t="s">
        <v>151</v>
      </c>
    </row>
    <row r="20" spans="1:7" x14ac:dyDescent="0.25">
      <c r="A20" t="s">
        <v>49</v>
      </c>
      <c r="B20" t="s">
        <v>50</v>
      </c>
      <c r="C20" t="s">
        <v>0</v>
      </c>
      <c r="D20" s="34"/>
      <c r="E20" t="s">
        <v>366</v>
      </c>
      <c r="G20" t="s">
        <v>152</v>
      </c>
    </row>
    <row r="21" spans="1:7" x14ac:dyDescent="0.25">
      <c r="A21" t="s">
        <v>51</v>
      </c>
      <c r="B21" t="s">
        <v>52</v>
      </c>
      <c r="C21" t="s">
        <v>0</v>
      </c>
      <c r="D21" s="34"/>
      <c r="E21" t="s">
        <v>366</v>
      </c>
      <c r="G21" t="s">
        <v>153</v>
      </c>
    </row>
    <row r="22" spans="1:7" x14ac:dyDescent="0.25">
      <c r="A22" t="s">
        <v>53</v>
      </c>
      <c r="B22" t="s">
        <v>54</v>
      </c>
      <c r="C22" t="s">
        <v>0</v>
      </c>
      <c r="D22" s="34"/>
      <c r="E22" t="s">
        <v>366</v>
      </c>
      <c r="G22" t="s">
        <v>154</v>
      </c>
    </row>
    <row r="23" spans="1:7" x14ac:dyDescent="0.25">
      <c r="A23" t="s">
        <v>55</v>
      </c>
      <c r="B23" t="s">
        <v>56</v>
      </c>
      <c r="C23" t="s">
        <v>0</v>
      </c>
      <c r="D23" s="34"/>
      <c r="E23" t="s">
        <v>366</v>
      </c>
      <c r="G23" t="s">
        <v>155</v>
      </c>
    </row>
    <row r="24" spans="1:7" x14ac:dyDescent="0.25">
      <c r="A24" t="s">
        <v>57</v>
      </c>
      <c r="B24" t="s">
        <v>58</v>
      </c>
      <c r="C24" t="s">
        <v>0</v>
      </c>
      <c r="D24" s="34"/>
      <c r="E24" t="s">
        <v>366</v>
      </c>
      <c r="G24" t="s">
        <v>156</v>
      </c>
    </row>
    <row r="25" spans="1:7" x14ac:dyDescent="0.25">
      <c r="A25" t="s">
        <v>59</v>
      </c>
      <c r="B25" t="s">
        <v>60</v>
      </c>
      <c r="C25" t="s">
        <v>0</v>
      </c>
      <c r="D25" s="34"/>
      <c r="E25" t="s">
        <v>366</v>
      </c>
      <c r="G25" t="s">
        <v>157</v>
      </c>
    </row>
    <row r="26" spans="1:7" x14ac:dyDescent="0.25">
      <c r="A26" t="s">
        <v>63</v>
      </c>
      <c r="B26" t="s">
        <v>64</v>
      </c>
      <c r="C26" t="s">
        <v>0</v>
      </c>
      <c r="D26" s="34"/>
      <c r="E26" t="s">
        <v>366</v>
      </c>
      <c r="G26" t="s">
        <v>158</v>
      </c>
    </row>
    <row r="27" spans="1:7" x14ac:dyDescent="0.25">
      <c r="A27" t="s">
        <v>65</v>
      </c>
      <c r="B27" t="s">
        <v>66</v>
      </c>
      <c r="C27" t="s">
        <v>0</v>
      </c>
      <c r="D27" s="34"/>
      <c r="E27" t="s">
        <v>366</v>
      </c>
      <c r="G27" t="s">
        <v>159</v>
      </c>
    </row>
    <row r="28" spans="1:7" x14ac:dyDescent="0.25">
      <c r="A28" t="s">
        <v>69</v>
      </c>
      <c r="B28" s="35" t="s">
        <v>362</v>
      </c>
      <c r="C28" t="s">
        <v>0</v>
      </c>
      <c r="D28" s="34"/>
      <c r="E28" t="s">
        <v>366</v>
      </c>
      <c r="G28" t="s">
        <v>160</v>
      </c>
    </row>
    <row r="29" spans="1:7" x14ac:dyDescent="0.25">
      <c r="A29" t="s">
        <v>70</v>
      </c>
      <c r="B29" t="s">
        <v>71</v>
      </c>
      <c r="C29" t="s">
        <v>0</v>
      </c>
      <c r="D29" s="34"/>
      <c r="E29" t="s">
        <v>366</v>
      </c>
      <c r="G29" t="s">
        <v>161</v>
      </c>
    </row>
    <row r="30" spans="1:7" x14ac:dyDescent="0.25">
      <c r="A30" t="s">
        <v>72</v>
      </c>
      <c r="B30" t="s">
        <v>73</v>
      </c>
      <c r="C30" t="s">
        <v>0</v>
      </c>
      <c r="D30" s="34"/>
      <c r="E30" t="s">
        <v>366</v>
      </c>
      <c r="G30" t="s">
        <v>162</v>
      </c>
    </row>
    <row r="31" spans="1:7" x14ac:dyDescent="0.25">
      <c r="A31" t="s">
        <v>74</v>
      </c>
      <c r="C31" t="s">
        <v>0</v>
      </c>
      <c r="D31" s="34"/>
      <c r="E31" t="s">
        <v>366</v>
      </c>
      <c r="G31" t="s">
        <v>163</v>
      </c>
    </row>
    <row r="32" spans="1:7" x14ac:dyDescent="0.25">
      <c r="A32" t="s">
        <v>75</v>
      </c>
      <c r="B32" t="s">
        <v>76</v>
      </c>
      <c r="C32" t="s">
        <v>0</v>
      </c>
      <c r="D32" s="34"/>
      <c r="E32" t="s">
        <v>366</v>
      </c>
      <c r="G32" t="s">
        <v>164</v>
      </c>
    </row>
    <row r="33" spans="1:7" x14ac:dyDescent="0.25">
      <c r="A33" t="s">
        <v>79</v>
      </c>
      <c r="B33" t="s">
        <v>80</v>
      </c>
      <c r="C33" t="s">
        <v>0</v>
      </c>
      <c r="D33" s="34"/>
      <c r="E33" t="s">
        <v>366</v>
      </c>
      <c r="G33" t="s">
        <v>165</v>
      </c>
    </row>
    <row r="34" spans="1:7" x14ac:dyDescent="0.25">
      <c r="A34" t="s">
        <v>81</v>
      </c>
      <c r="B34" t="s">
        <v>82</v>
      </c>
      <c r="C34" t="s">
        <v>0</v>
      </c>
      <c r="D34" s="34"/>
      <c r="E34" t="s">
        <v>366</v>
      </c>
      <c r="G34" t="s">
        <v>166</v>
      </c>
    </row>
    <row r="35" spans="1:7" x14ac:dyDescent="0.25">
      <c r="A35" t="s">
        <v>83</v>
      </c>
      <c r="B35" t="s">
        <v>84</v>
      </c>
      <c r="C35" t="s">
        <v>0</v>
      </c>
      <c r="D35" s="34"/>
      <c r="E35" t="s">
        <v>366</v>
      </c>
      <c r="G35" t="s">
        <v>167</v>
      </c>
    </row>
    <row r="36" spans="1:7" x14ac:dyDescent="0.25">
      <c r="A36" t="s">
        <v>85</v>
      </c>
      <c r="B36" t="s">
        <v>86</v>
      </c>
      <c r="C36" t="s">
        <v>0</v>
      </c>
      <c r="D36" s="34"/>
      <c r="E36" t="s">
        <v>366</v>
      </c>
      <c r="G36" t="s">
        <v>168</v>
      </c>
    </row>
    <row r="37" spans="1:7" x14ac:dyDescent="0.25">
      <c r="A37" t="s">
        <v>87</v>
      </c>
      <c r="B37" t="s">
        <v>88</v>
      </c>
      <c r="C37" t="s">
        <v>0</v>
      </c>
      <c r="D37" s="34"/>
      <c r="E37" t="s">
        <v>366</v>
      </c>
      <c r="G37" t="s">
        <v>169</v>
      </c>
    </row>
    <row r="38" spans="1:7" x14ac:dyDescent="0.25">
      <c r="A38" t="s">
        <v>91</v>
      </c>
      <c r="B38" t="s">
        <v>92</v>
      </c>
      <c r="C38" t="s">
        <v>0</v>
      </c>
      <c r="D38" s="34"/>
      <c r="E38" t="s">
        <v>366</v>
      </c>
      <c r="G38" t="s">
        <v>170</v>
      </c>
    </row>
    <row r="39" spans="1:7" x14ac:dyDescent="0.25">
      <c r="A39" t="s">
        <v>93</v>
      </c>
      <c r="B39" t="s">
        <v>94</v>
      </c>
      <c r="C39" t="s">
        <v>0</v>
      </c>
      <c r="D39" s="34"/>
      <c r="E39" t="s">
        <v>366</v>
      </c>
      <c r="G39" t="s">
        <v>171</v>
      </c>
    </row>
    <row r="40" spans="1:7" x14ac:dyDescent="0.25">
      <c r="A40" t="s">
        <v>99</v>
      </c>
      <c r="B40" t="s">
        <v>100</v>
      </c>
      <c r="C40" t="s">
        <v>0</v>
      </c>
      <c r="D40" s="34"/>
      <c r="E40" t="s">
        <v>366</v>
      </c>
      <c r="G40" t="s">
        <v>172</v>
      </c>
    </row>
    <row r="41" spans="1:7" x14ac:dyDescent="0.25">
      <c r="A41" t="s">
        <v>101</v>
      </c>
      <c r="B41" t="s">
        <v>102</v>
      </c>
      <c r="C41" t="s">
        <v>0</v>
      </c>
      <c r="D41" s="34"/>
      <c r="E41" t="s">
        <v>366</v>
      </c>
      <c r="G41" t="s">
        <v>173</v>
      </c>
    </row>
    <row r="42" spans="1:7" x14ac:dyDescent="0.25">
      <c r="A42" t="s">
        <v>106</v>
      </c>
      <c r="B42" t="s">
        <v>107</v>
      </c>
      <c r="C42" t="s">
        <v>0</v>
      </c>
      <c r="D42" s="34"/>
      <c r="E42" t="s">
        <v>366</v>
      </c>
      <c r="G42" t="s">
        <v>174</v>
      </c>
    </row>
    <row r="43" spans="1:7" x14ac:dyDescent="0.25">
      <c r="A43" t="s">
        <v>110</v>
      </c>
      <c r="B43" t="s">
        <v>111</v>
      </c>
      <c r="C43" t="s">
        <v>0</v>
      </c>
      <c r="D43" s="34"/>
      <c r="E43" t="s">
        <v>366</v>
      </c>
      <c r="G43" t="s">
        <v>175</v>
      </c>
    </row>
    <row r="44" spans="1:7" x14ac:dyDescent="0.25">
      <c r="A44" t="s">
        <v>112</v>
      </c>
      <c r="B44" t="s">
        <v>113</v>
      </c>
      <c r="C44" t="s">
        <v>0</v>
      </c>
      <c r="D44" s="34"/>
      <c r="E44" t="s">
        <v>366</v>
      </c>
      <c r="G44" t="s">
        <v>176</v>
      </c>
    </row>
    <row r="45" spans="1:7" x14ac:dyDescent="0.25">
      <c r="A45" t="s">
        <v>116</v>
      </c>
      <c r="B45" t="s">
        <v>117</v>
      </c>
      <c r="C45" t="s">
        <v>0</v>
      </c>
      <c r="D45" s="34"/>
      <c r="E45" t="s">
        <v>366</v>
      </c>
      <c r="G45" t="s">
        <v>177</v>
      </c>
    </row>
    <row r="46" spans="1:7" hidden="1" x14ac:dyDescent="0.25">
      <c r="A46" t="s">
        <v>29</v>
      </c>
      <c r="B46" t="s">
        <v>30</v>
      </c>
      <c r="C46" t="s">
        <v>130</v>
      </c>
      <c r="D46" s="34"/>
      <c r="E46" t="s">
        <v>365</v>
      </c>
      <c r="G46" t="s">
        <v>178</v>
      </c>
    </row>
    <row r="47" spans="1:7" hidden="1" x14ac:dyDescent="0.25">
      <c r="A47" t="s">
        <v>35</v>
      </c>
      <c r="B47" t="s">
        <v>36</v>
      </c>
      <c r="C47" t="s">
        <v>130</v>
      </c>
      <c r="D47" s="34"/>
      <c r="E47" t="s">
        <v>365</v>
      </c>
      <c r="G47" t="s">
        <v>179</v>
      </c>
    </row>
    <row r="48" spans="1:7" hidden="1" x14ac:dyDescent="0.25">
      <c r="A48" t="s">
        <v>126</v>
      </c>
      <c r="B48" t="s">
        <v>127</v>
      </c>
      <c r="C48" t="s">
        <v>130</v>
      </c>
      <c r="D48" s="34"/>
      <c r="E48" t="s">
        <v>365</v>
      </c>
      <c r="G48" t="s">
        <v>180</v>
      </c>
    </row>
    <row r="49" spans="1:7" hidden="1" x14ac:dyDescent="0.25">
      <c r="A49" t="s">
        <v>120</v>
      </c>
      <c r="B49" t="s">
        <v>121</v>
      </c>
      <c r="C49" t="s">
        <v>130</v>
      </c>
      <c r="D49" s="34"/>
      <c r="E49" t="s">
        <v>365</v>
      </c>
      <c r="G49" t="s">
        <v>181</v>
      </c>
    </row>
    <row r="50" spans="1:7" hidden="1" x14ac:dyDescent="0.25">
      <c r="A50" t="s">
        <v>97</v>
      </c>
      <c r="B50" t="s">
        <v>98</v>
      </c>
      <c r="C50" t="s">
        <v>130</v>
      </c>
      <c r="D50" s="34"/>
      <c r="E50" t="s">
        <v>365</v>
      </c>
    </row>
    <row r="51" spans="1:7" hidden="1" x14ac:dyDescent="0.25">
      <c r="A51" t="s">
        <v>124</v>
      </c>
      <c r="B51" t="s">
        <v>125</v>
      </c>
      <c r="C51" t="s">
        <v>130</v>
      </c>
      <c r="D51" s="34"/>
      <c r="E51" t="s">
        <v>365</v>
      </c>
    </row>
    <row r="52" spans="1:7" hidden="1" x14ac:dyDescent="0.25">
      <c r="A52" t="s">
        <v>104</v>
      </c>
      <c r="B52" t="s">
        <v>105</v>
      </c>
      <c r="C52" t="s">
        <v>130</v>
      </c>
      <c r="D52" s="34"/>
      <c r="E52" t="s">
        <v>365</v>
      </c>
    </row>
    <row r="53" spans="1:7" hidden="1" x14ac:dyDescent="0.25">
      <c r="A53" t="s">
        <v>122</v>
      </c>
      <c r="B53" t="s">
        <v>123</v>
      </c>
      <c r="C53" t="s">
        <v>130</v>
      </c>
      <c r="D53" s="34"/>
      <c r="E53" t="s">
        <v>365</v>
      </c>
    </row>
    <row r="54" spans="1:7" hidden="1" x14ac:dyDescent="0.25">
      <c r="A54" t="s">
        <v>114</v>
      </c>
      <c r="B54" t="s">
        <v>115</v>
      </c>
      <c r="C54" t="s">
        <v>130</v>
      </c>
      <c r="D54" s="34"/>
      <c r="E54" t="s">
        <v>365</v>
      </c>
    </row>
    <row r="55" spans="1:7" hidden="1" x14ac:dyDescent="0.25">
      <c r="A55" t="s">
        <v>282</v>
      </c>
      <c r="B55" t="s">
        <v>285</v>
      </c>
      <c r="C55" t="s">
        <v>279</v>
      </c>
      <c r="D55" s="34"/>
      <c r="E55" t="s">
        <v>367</v>
      </c>
    </row>
    <row r="56" spans="1:7" hidden="1" x14ac:dyDescent="0.25">
      <c r="A56" t="s">
        <v>277</v>
      </c>
      <c r="B56" t="s">
        <v>278</v>
      </c>
      <c r="C56" t="s">
        <v>279</v>
      </c>
      <c r="D56" s="34"/>
      <c r="E56" t="s">
        <v>366</v>
      </c>
    </row>
    <row r="57" spans="1:7" hidden="1" x14ac:dyDescent="0.25">
      <c r="A57" t="s">
        <v>19</v>
      </c>
      <c r="B57" t="s">
        <v>20</v>
      </c>
      <c r="C57" t="s">
        <v>128</v>
      </c>
      <c r="D57" s="34">
        <v>1</v>
      </c>
      <c r="E57" t="s">
        <v>366</v>
      </c>
    </row>
    <row r="58" spans="1:7" hidden="1" x14ac:dyDescent="0.25">
      <c r="A58" t="s">
        <v>21</v>
      </c>
      <c r="B58" t="s">
        <v>22</v>
      </c>
      <c r="C58" t="s">
        <v>128</v>
      </c>
      <c r="D58" s="34">
        <v>4</v>
      </c>
      <c r="E58" t="s">
        <v>366</v>
      </c>
    </row>
    <row r="59" spans="1:7" hidden="1" x14ac:dyDescent="0.25">
      <c r="A59" t="s">
        <v>67</v>
      </c>
      <c r="B59" t="s">
        <v>68</v>
      </c>
      <c r="C59" t="s">
        <v>128</v>
      </c>
      <c r="D59" s="34">
        <v>3</v>
      </c>
      <c r="E59" t="s">
        <v>366</v>
      </c>
    </row>
    <row r="60" spans="1:7" hidden="1" x14ac:dyDescent="0.25">
      <c r="A60" t="s">
        <v>77</v>
      </c>
      <c r="B60" t="s">
        <v>78</v>
      </c>
      <c r="C60" t="s">
        <v>128</v>
      </c>
      <c r="D60" s="34">
        <v>2</v>
      </c>
      <c r="E60" t="s">
        <v>366</v>
      </c>
    </row>
    <row r="61" spans="1:7" hidden="1" x14ac:dyDescent="0.25">
      <c r="A61" t="s">
        <v>118</v>
      </c>
      <c r="B61" t="s">
        <v>119</v>
      </c>
      <c r="C61" t="s">
        <v>128</v>
      </c>
      <c r="D61" s="34"/>
      <c r="E61" t="s">
        <v>365</v>
      </c>
    </row>
    <row r="62" spans="1:7" hidden="1" x14ac:dyDescent="0.25">
      <c r="A62" t="s">
        <v>284</v>
      </c>
      <c r="B62" t="s">
        <v>287</v>
      </c>
      <c r="C62" t="s">
        <v>281</v>
      </c>
      <c r="D62" s="34"/>
      <c r="E62" t="s">
        <v>281</v>
      </c>
    </row>
  </sheetData>
  <hyperlinks>
    <hyperlink ref="B7" r:id="rId1" xr:uid="{00000000-0004-0000-0100-000000000000}"/>
    <hyperlink ref="B28" r:id="rId2" xr:uid="{00000000-0004-0000-0100-000001000000}"/>
  </hyperlinks>
  <pageMargins left="0.7" right="0.7" top="0.75" bottom="0.75" header="0.3" footer="0.3"/>
  <tableParts count="11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M27"/>
  <sheetViews>
    <sheetView showGridLines="0" zoomScaleNormal="100" workbookViewId="0">
      <selection activeCell="O21" sqref="O21"/>
    </sheetView>
  </sheetViews>
  <sheetFormatPr defaultRowHeight="15" x14ac:dyDescent="0.25"/>
  <sheetData>
    <row r="3" spans="1:13" x14ac:dyDescent="0.25">
      <c r="K3" s="42" t="s">
        <v>1</v>
      </c>
      <c r="L3" s="43"/>
      <c r="M3" s="43"/>
    </row>
    <row r="4" spans="1:13" x14ac:dyDescent="0.25">
      <c r="K4" s="43"/>
      <c r="L4" s="43"/>
      <c r="M4" s="43"/>
    </row>
    <row r="5" spans="1:13" x14ac:dyDescent="0.25">
      <c r="K5" s="43"/>
      <c r="L5" s="43"/>
      <c r="M5" s="43"/>
    </row>
    <row r="6" spans="1:13" x14ac:dyDescent="0.25">
      <c r="K6" s="43"/>
      <c r="L6" s="43"/>
      <c r="M6" s="43"/>
    </row>
    <row r="7" spans="1:13" x14ac:dyDescent="0.25">
      <c r="K7" s="43"/>
      <c r="L7" s="43"/>
      <c r="M7" s="43"/>
    </row>
    <row r="8" spans="1:13" x14ac:dyDescent="0.25">
      <c r="K8" s="43"/>
      <c r="L8" s="43"/>
      <c r="M8" s="43"/>
    </row>
    <row r="9" spans="1:13" ht="15.75" thickBot="1" x14ac:dyDescent="0.3"/>
    <row r="10" spans="1:13" ht="15.75" thickBot="1" x14ac:dyDescent="0.3">
      <c r="A10" s="52" t="s">
        <v>2</v>
      </c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4"/>
    </row>
    <row r="11" spans="1:13" ht="15.75" thickBot="1" x14ac:dyDescent="0.3">
      <c r="A11" s="4" t="s">
        <v>3</v>
      </c>
      <c r="B11" s="40"/>
      <c r="C11" s="40"/>
      <c r="D11" s="5" t="s">
        <v>4</v>
      </c>
      <c r="E11" s="40"/>
      <c r="F11" s="40"/>
      <c r="G11" s="5" t="s">
        <v>5</v>
      </c>
      <c r="H11" s="40"/>
      <c r="I11" s="40"/>
      <c r="J11" s="40"/>
      <c r="K11" s="5" t="s">
        <v>6</v>
      </c>
      <c r="L11" s="40"/>
      <c r="M11" s="41"/>
    </row>
    <row r="12" spans="1:13" ht="15.75" thickBot="1" x14ac:dyDescent="0.3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2"/>
    </row>
    <row r="13" spans="1:13" x14ac:dyDescent="0.25">
      <c r="A13" s="56"/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8"/>
    </row>
    <row r="14" spans="1:13" x14ac:dyDescent="0.25">
      <c r="A14" s="56"/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8"/>
    </row>
    <row r="15" spans="1:13" ht="15.75" thickBot="1" x14ac:dyDescent="0.3">
      <c r="A15" s="59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1"/>
    </row>
    <row r="16" spans="1:13" ht="15.75" thickBot="1" x14ac:dyDescent="0.3">
      <c r="A16" s="52" t="s">
        <v>8</v>
      </c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4"/>
    </row>
    <row r="17" spans="1:13" ht="15.75" thickBot="1" x14ac:dyDescent="0.3">
      <c r="A17" s="55" t="s">
        <v>9</v>
      </c>
      <c r="B17" s="40"/>
      <c r="C17" s="40"/>
      <c r="D17" s="40"/>
      <c r="E17" s="40"/>
      <c r="F17" s="40" t="s">
        <v>10</v>
      </c>
      <c r="G17" s="40"/>
      <c r="H17" s="40"/>
      <c r="I17" s="40"/>
      <c r="J17" s="40"/>
      <c r="K17" s="5" t="s">
        <v>6</v>
      </c>
      <c r="L17" s="40"/>
      <c r="M17" s="41"/>
    </row>
    <row r="18" spans="1:13" ht="15.75" thickBot="1" x14ac:dyDescent="0.3">
      <c r="A18" s="44" t="s">
        <v>11</v>
      </c>
      <c r="B18" s="45"/>
      <c r="C18" s="45"/>
      <c r="D18" s="1"/>
      <c r="E18" s="1"/>
      <c r="F18" s="1"/>
      <c r="G18" s="1"/>
      <c r="H18" s="1"/>
      <c r="I18" s="1"/>
      <c r="J18" s="1"/>
      <c r="K18" s="1"/>
      <c r="L18" s="1"/>
      <c r="M18" s="2"/>
    </row>
    <row r="19" spans="1:13" x14ac:dyDescent="0.25">
      <c r="A19" s="46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8"/>
    </row>
    <row r="20" spans="1:13" x14ac:dyDescent="0.25">
      <c r="A20" s="46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8"/>
    </row>
    <row r="21" spans="1:13" ht="15.75" thickBot="1" x14ac:dyDescent="0.3">
      <c r="A21" s="49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1"/>
    </row>
    <row r="22" spans="1:13" ht="15.75" thickBot="1" x14ac:dyDescent="0.3">
      <c r="A22" s="52" t="s">
        <v>12</v>
      </c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4"/>
    </row>
    <row r="23" spans="1:13" ht="15.75" thickBot="1" x14ac:dyDescent="0.3">
      <c r="A23" s="55" t="s">
        <v>9</v>
      </c>
      <c r="B23" s="40"/>
      <c r="C23" s="40"/>
      <c r="D23" s="40"/>
      <c r="E23" s="40"/>
      <c r="F23" s="40" t="s">
        <v>10</v>
      </c>
      <c r="G23" s="40"/>
      <c r="H23" s="40"/>
      <c r="I23" s="40"/>
      <c r="J23" s="40"/>
      <c r="K23" s="5" t="s">
        <v>6</v>
      </c>
      <c r="L23" s="40"/>
      <c r="M23" s="41"/>
    </row>
    <row r="24" spans="1:13" ht="15.75" thickBot="1" x14ac:dyDescent="0.3">
      <c r="A24" s="44" t="s">
        <v>11</v>
      </c>
      <c r="B24" s="45"/>
      <c r="C24" s="45"/>
      <c r="D24" s="1"/>
      <c r="E24" s="1"/>
      <c r="F24" s="1"/>
      <c r="G24" s="1"/>
      <c r="H24" s="1"/>
      <c r="I24" s="1"/>
      <c r="J24" s="1"/>
      <c r="K24" s="1"/>
      <c r="L24" s="1"/>
      <c r="M24" s="2"/>
    </row>
    <row r="25" spans="1:13" x14ac:dyDescent="0.25">
      <c r="A25" s="46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8"/>
    </row>
    <row r="26" spans="1:13" x14ac:dyDescent="0.25">
      <c r="A26" s="46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8"/>
    </row>
    <row r="27" spans="1:13" ht="15.75" thickBot="1" x14ac:dyDescent="0.3">
      <c r="A27" s="49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1"/>
    </row>
  </sheetData>
  <mergeCells count="23">
    <mergeCell ref="A24:C24"/>
    <mergeCell ref="A25:M27"/>
    <mergeCell ref="A18:C18"/>
    <mergeCell ref="A19:M21"/>
    <mergeCell ref="A10:M10"/>
    <mergeCell ref="A16:M16"/>
    <mergeCell ref="A22:M22"/>
    <mergeCell ref="A23:B23"/>
    <mergeCell ref="C23:E23"/>
    <mergeCell ref="F23:G23"/>
    <mergeCell ref="H23:J23"/>
    <mergeCell ref="L23:M23"/>
    <mergeCell ref="A13:M15"/>
    <mergeCell ref="A17:B17"/>
    <mergeCell ref="C17:E17"/>
    <mergeCell ref="F17:G17"/>
    <mergeCell ref="H17:J17"/>
    <mergeCell ref="L17:M17"/>
    <mergeCell ref="K3:M8"/>
    <mergeCell ref="B11:C11"/>
    <mergeCell ref="E11:F11"/>
    <mergeCell ref="H11:J11"/>
    <mergeCell ref="L11:M11"/>
  </mergeCells>
  <pageMargins left="0.7" right="0.7" top="0.75" bottom="0.75" header="0.3" footer="0.3"/>
  <pageSetup scale="76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2"/>
  <sheetViews>
    <sheetView workbookViewId="0">
      <selection activeCell="J10" sqref="J10"/>
    </sheetView>
  </sheetViews>
  <sheetFormatPr defaultRowHeight="15" x14ac:dyDescent="0.25"/>
  <cols>
    <col min="1" max="1" width="11.7109375" bestFit="1" customWidth="1"/>
    <col min="2" max="2" width="10.28515625" bestFit="1" customWidth="1"/>
    <col min="3" max="3" width="9.42578125" bestFit="1" customWidth="1"/>
    <col min="4" max="4" width="10.85546875" bestFit="1" customWidth="1"/>
    <col min="5" max="5" width="11.140625" bestFit="1" customWidth="1"/>
    <col min="6" max="6" width="10.85546875" bestFit="1" customWidth="1"/>
    <col min="7" max="7" width="15.42578125" bestFit="1" customWidth="1"/>
    <col min="8" max="8" width="14.42578125" bestFit="1" customWidth="1"/>
    <col min="9" max="9" width="12.28515625" bestFit="1" customWidth="1"/>
    <col min="10" max="10" width="13" bestFit="1" customWidth="1"/>
    <col min="11" max="11" width="12.85546875" bestFit="1" customWidth="1"/>
    <col min="12" max="13" width="11.42578125" bestFit="1" customWidth="1"/>
  </cols>
  <sheetData>
    <row r="1" spans="1:12" x14ac:dyDescent="0.25">
      <c r="A1" t="s">
        <v>305</v>
      </c>
      <c r="B1" t="s">
        <v>306</v>
      </c>
      <c r="C1" t="s">
        <v>133</v>
      </c>
      <c r="D1" t="s">
        <v>13</v>
      </c>
      <c r="E1" t="s">
        <v>128</v>
      </c>
      <c r="F1" t="s">
        <v>129</v>
      </c>
      <c r="G1" t="s">
        <v>183</v>
      </c>
      <c r="H1" t="s">
        <v>184</v>
      </c>
      <c r="I1" t="s">
        <v>185</v>
      </c>
      <c r="J1" t="s">
        <v>186</v>
      </c>
      <c r="K1" t="s">
        <v>14</v>
      </c>
      <c r="L1" t="s">
        <v>182</v>
      </c>
    </row>
    <row r="2" spans="1:12" x14ac:dyDescent="0.25">
      <c r="D2" s="6"/>
      <c r="L2">
        <f>ROW()</f>
        <v>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AN8"/>
  <sheetViews>
    <sheetView tabSelected="1" topLeftCell="AA1" workbookViewId="0">
      <selection activeCell="AL14" sqref="AL14"/>
    </sheetView>
  </sheetViews>
  <sheetFormatPr defaultColWidth="11.5703125" defaultRowHeight="15" x14ac:dyDescent="0.25"/>
  <cols>
    <col min="1" max="1" width="11.7109375" bestFit="1" customWidth="1"/>
    <col min="2" max="2" width="10.7109375" bestFit="1" customWidth="1"/>
    <col min="3" max="3" width="7.7109375" bestFit="1" customWidth="1"/>
    <col min="4" max="4" width="9.7109375" bestFit="1" customWidth="1"/>
    <col min="5" max="5" width="13" bestFit="1" customWidth="1"/>
    <col min="6" max="6" width="10.5703125" bestFit="1" customWidth="1"/>
    <col min="7" max="7" width="11.140625" bestFit="1" customWidth="1"/>
    <col min="8" max="8" width="17.7109375" bestFit="1" customWidth="1"/>
    <col min="9" max="10" width="19" bestFit="1" customWidth="1"/>
    <col min="11" max="11" width="72.28515625" bestFit="1" customWidth="1"/>
    <col min="12" max="13" width="11.140625" bestFit="1" customWidth="1"/>
    <col min="14" max="14" width="14.28515625" bestFit="1" customWidth="1"/>
    <col min="15" max="15" width="20" bestFit="1" customWidth="1"/>
    <col min="16" max="16" width="12.28515625" bestFit="1" customWidth="1"/>
    <col min="17" max="17" width="15.85546875" bestFit="1" customWidth="1"/>
    <col min="18" max="18" width="12.42578125" bestFit="1" customWidth="1"/>
    <col min="19" max="19" width="11.7109375" bestFit="1" customWidth="1"/>
    <col min="20" max="20" width="12.5703125" bestFit="1" customWidth="1"/>
    <col min="21" max="21" width="63.5703125" bestFit="1" customWidth="1"/>
    <col min="22" max="22" width="13.140625" bestFit="1" customWidth="1"/>
    <col min="23" max="23" width="40.85546875" bestFit="1" customWidth="1"/>
    <col min="24" max="24" width="11.140625" bestFit="1" customWidth="1"/>
    <col min="25" max="25" width="12.85546875" bestFit="1" customWidth="1"/>
    <col min="26" max="26" width="10" bestFit="1" customWidth="1"/>
    <col min="27" max="27" width="10.140625" bestFit="1" customWidth="1"/>
    <col min="28" max="28" width="9.28515625" bestFit="1" customWidth="1"/>
    <col min="29" max="29" width="10.42578125" bestFit="1" customWidth="1"/>
    <col min="30" max="30" width="12.42578125" bestFit="1" customWidth="1"/>
    <col min="31" max="31" width="12.140625" bestFit="1" customWidth="1"/>
    <col min="32" max="32" width="17.42578125" bestFit="1" customWidth="1"/>
    <col min="33" max="33" width="20.140625" bestFit="1" customWidth="1"/>
    <col min="34" max="34" width="17.7109375" bestFit="1" customWidth="1"/>
    <col min="35" max="35" width="21.85546875" bestFit="1" customWidth="1"/>
    <col min="36" max="36" width="19.5703125" bestFit="1" customWidth="1"/>
    <col min="37" max="37" width="18.85546875" bestFit="1" customWidth="1"/>
    <col min="38" max="38" width="16.5703125" bestFit="1" customWidth="1"/>
    <col min="39" max="39" width="16.28515625" bestFit="1" customWidth="1"/>
    <col min="40" max="40" width="11.42578125" bestFit="1" customWidth="1"/>
  </cols>
  <sheetData>
    <row r="1" spans="1:40" x14ac:dyDescent="0.25">
      <c r="A1" t="s">
        <v>305</v>
      </c>
      <c r="B1" t="s">
        <v>288</v>
      </c>
      <c r="C1" t="s">
        <v>289</v>
      </c>
      <c r="D1" t="s">
        <v>0</v>
      </c>
      <c r="E1" t="s">
        <v>298</v>
      </c>
      <c r="F1" t="s">
        <v>255</v>
      </c>
      <c r="G1" t="s">
        <v>299</v>
      </c>
      <c r="H1" t="s">
        <v>246</v>
      </c>
      <c r="I1" t="s">
        <v>249</v>
      </c>
      <c r="J1" t="s">
        <v>290</v>
      </c>
      <c r="K1" t="s">
        <v>304</v>
      </c>
      <c r="L1" t="s">
        <v>259</v>
      </c>
      <c r="M1" t="s">
        <v>264</v>
      </c>
      <c r="N1" t="s">
        <v>270</v>
      </c>
      <c r="O1" t="s">
        <v>291</v>
      </c>
      <c r="P1" t="s">
        <v>292</v>
      </c>
      <c r="Q1" t="s">
        <v>300</v>
      </c>
      <c r="R1" t="s">
        <v>301</v>
      </c>
      <c r="S1" t="s">
        <v>294</v>
      </c>
      <c r="T1" t="s">
        <v>302</v>
      </c>
      <c r="U1" t="s">
        <v>303</v>
      </c>
      <c r="V1" t="s">
        <v>293</v>
      </c>
      <c r="W1" t="s">
        <v>14</v>
      </c>
      <c r="X1" t="s">
        <v>128</v>
      </c>
      <c r="Y1" t="s">
        <v>279</v>
      </c>
      <c r="Z1" t="s">
        <v>280</v>
      </c>
      <c r="AA1" t="s">
        <v>295</v>
      </c>
      <c r="AB1" t="s">
        <v>296</v>
      </c>
      <c r="AC1" t="s">
        <v>297</v>
      </c>
      <c r="AD1" t="s">
        <v>351</v>
      </c>
      <c r="AE1" t="s">
        <v>369</v>
      </c>
      <c r="AF1" t="s">
        <v>346</v>
      </c>
      <c r="AG1" t="s">
        <v>347</v>
      </c>
      <c r="AH1" t="s">
        <v>374</v>
      </c>
      <c r="AI1" t="s">
        <v>348</v>
      </c>
      <c r="AJ1" t="s">
        <v>375</v>
      </c>
      <c r="AK1" t="s">
        <v>349</v>
      </c>
      <c r="AL1" t="s">
        <v>376</v>
      </c>
      <c r="AM1" t="s">
        <v>373</v>
      </c>
      <c r="AN1" t="s">
        <v>182</v>
      </c>
    </row>
    <row r="2" spans="1:40" x14ac:dyDescent="0.25">
      <c r="A2" s="24" t="s">
        <v>336</v>
      </c>
      <c r="B2" s="6">
        <v>41954</v>
      </c>
      <c r="C2">
        <v>1234</v>
      </c>
      <c r="D2" t="s">
        <v>19</v>
      </c>
      <c r="E2">
        <v>1054</v>
      </c>
      <c r="F2">
        <v>1</v>
      </c>
      <c r="G2">
        <v>1685</v>
      </c>
      <c r="H2" t="s">
        <v>247</v>
      </c>
      <c r="I2" t="s">
        <v>327</v>
      </c>
      <c r="J2" t="s">
        <v>328</v>
      </c>
      <c r="K2" t="s">
        <v>329</v>
      </c>
      <c r="L2" t="s">
        <v>260</v>
      </c>
      <c r="M2" t="s">
        <v>269</v>
      </c>
      <c r="N2" t="s">
        <v>271</v>
      </c>
      <c r="O2" t="s">
        <v>330</v>
      </c>
      <c r="P2">
        <v>1250</v>
      </c>
      <c r="Q2">
        <v>35</v>
      </c>
      <c r="R2">
        <v>50</v>
      </c>
      <c r="S2" t="s">
        <v>21</v>
      </c>
      <c r="T2">
        <v>4562</v>
      </c>
      <c r="U2" t="s">
        <v>235</v>
      </c>
      <c r="X2" t="s">
        <v>21</v>
      </c>
      <c r="Y2" t="s">
        <v>277</v>
      </c>
      <c r="Z2" t="s">
        <v>283</v>
      </c>
      <c r="AE2" t="str">
        <f t="shared" ref="AE2:AE7" si="0">"Evoc1"</f>
        <v>Evoc1</v>
      </c>
      <c r="AF2" s="6">
        <v>43081</v>
      </c>
      <c r="AG2" s="6"/>
      <c r="AI2" s="6"/>
      <c r="AK2" s="6"/>
      <c r="AM2" s="39"/>
      <c r="AN2">
        <f>ROW()</f>
        <v>2</v>
      </c>
    </row>
    <row r="3" spans="1:40" x14ac:dyDescent="0.25">
      <c r="A3" s="24" t="s">
        <v>344</v>
      </c>
      <c r="B3" s="6">
        <v>41944</v>
      </c>
      <c r="C3">
        <v>1532</v>
      </c>
      <c r="D3" t="s">
        <v>19</v>
      </c>
      <c r="E3">
        <v>1024</v>
      </c>
      <c r="F3">
        <v>2</v>
      </c>
      <c r="G3">
        <v>1345</v>
      </c>
      <c r="H3" t="s">
        <v>248</v>
      </c>
      <c r="I3" t="s">
        <v>331</v>
      </c>
      <c r="J3" t="s">
        <v>331</v>
      </c>
      <c r="K3" t="s">
        <v>332</v>
      </c>
      <c r="L3" t="s">
        <v>262</v>
      </c>
      <c r="M3" t="s">
        <v>267</v>
      </c>
      <c r="N3" t="s">
        <v>274</v>
      </c>
      <c r="O3" t="s">
        <v>333</v>
      </c>
      <c r="P3">
        <v>1533</v>
      </c>
      <c r="Q3">
        <v>100</v>
      </c>
      <c r="R3">
        <v>25</v>
      </c>
      <c r="S3" t="s">
        <v>27</v>
      </c>
      <c r="T3">
        <v>2345</v>
      </c>
      <c r="U3" t="s">
        <v>334</v>
      </c>
      <c r="X3" t="s">
        <v>77</v>
      </c>
      <c r="Y3" t="s">
        <v>277</v>
      </c>
      <c r="Z3" t="s">
        <v>283</v>
      </c>
      <c r="AE3" t="str">
        <f t="shared" si="0"/>
        <v>Evoc1</v>
      </c>
      <c r="AF3" s="6">
        <v>43082</v>
      </c>
      <c r="AN3">
        <f>ROW()</f>
        <v>3</v>
      </c>
    </row>
    <row r="4" spans="1:40" x14ac:dyDescent="0.25">
      <c r="A4" s="24" t="s">
        <v>345</v>
      </c>
      <c r="B4" s="6">
        <v>41215</v>
      </c>
      <c r="C4">
        <v>1325</v>
      </c>
      <c r="D4" t="s">
        <v>27</v>
      </c>
      <c r="E4">
        <v>1052</v>
      </c>
      <c r="F4">
        <v>1</v>
      </c>
      <c r="G4">
        <v>1234</v>
      </c>
      <c r="H4" t="s">
        <v>247</v>
      </c>
      <c r="I4" t="s">
        <v>337</v>
      </c>
      <c r="J4" t="s">
        <v>338</v>
      </c>
      <c r="K4" t="s">
        <v>339</v>
      </c>
      <c r="L4" t="s">
        <v>262</v>
      </c>
      <c r="M4" t="s">
        <v>267</v>
      </c>
      <c r="N4" t="s">
        <v>274</v>
      </c>
      <c r="O4" t="s">
        <v>340</v>
      </c>
      <c r="P4">
        <v>1345</v>
      </c>
      <c r="Q4">
        <v>20</v>
      </c>
      <c r="R4">
        <v>16</v>
      </c>
      <c r="S4" t="s">
        <v>21</v>
      </c>
      <c r="T4">
        <v>2563</v>
      </c>
      <c r="U4" t="s">
        <v>341</v>
      </c>
      <c r="V4" t="s">
        <v>342</v>
      </c>
      <c r="W4" t="s">
        <v>343</v>
      </c>
      <c r="X4" t="s">
        <v>19</v>
      </c>
      <c r="Y4" t="s">
        <v>277</v>
      </c>
      <c r="Z4" t="s">
        <v>283</v>
      </c>
      <c r="AE4" t="str">
        <f t="shared" si="0"/>
        <v>Evoc1</v>
      </c>
      <c r="AF4" s="6">
        <v>43083</v>
      </c>
      <c r="AN4">
        <f>ROW()</f>
        <v>4</v>
      </c>
    </row>
    <row r="5" spans="1:40" x14ac:dyDescent="0.25">
      <c r="A5" s="24" t="s">
        <v>353</v>
      </c>
      <c r="B5" s="6">
        <v>43041</v>
      </c>
      <c r="C5">
        <v>1350</v>
      </c>
      <c r="D5" t="s">
        <v>93</v>
      </c>
      <c r="E5">
        <v>869</v>
      </c>
      <c r="F5">
        <v>1</v>
      </c>
      <c r="G5">
        <v>6030</v>
      </c>
      <c r="H5" t="s">
        <v>248</v>
      </c>
      <c r="I5" t="s">
        <v>354</v>
      </c>
      <c r="J5" t="s">
        <v>355</v>
      </c>
      <c r="K5" t="s">
        <v>356</v>
      </c>
      <c r="L5" t="s">
        <v>261</v>
      </c>
      <c r="M5" t="s">
        <v>265</v>
      </c>
      <c r="N5" t="s">
        <v>272</v>
      </c>
      <c r="O5" t="s">
        <v>330</v>
      </c>
      <c r="P5">
        <v>1350</v>
      </c>
      <c r="Q5">
        <v>65</v>
      </c>
      <c r="R5">
        <v>70</v>
      </c>
      <c r="S5" t="s">
        <v>21</v>
      </c>
      <c r="T5">
        <v>920</v>
      </c>
      <c r="U5" t="s">
        <v>235</v>
      </c>
      <c r="V5" t="s">
        <v>357</v>
      </c>
      <c r="W5" t="s">
        <v>358</v>
      </c>
      <c r="X5" t="s">
        <v>21</v>
      </c>
      <c r="Y5" t="s">
        <v>277</v>
      </c>
      <c r="Z5" t="s">
        <v>283</v>
      </c>
      <c r="AD5">
        <v>2</v>
      </c>
      <c r="AE5" t="str">
        <f t="shared" si="0"/>
        <v>Evoc1</v>
      </c>
      <c r="AF5" s="6">
        <v>43084</v>
      </c>
      <c r="AH5" s="6">
        <v>43104</v>
      </c>
      <c r="AM5" s="37" t="s">
        <v>379</v>
      </c>
      <c r="AN5">
        <f>ROW()</f>
        <v>5</v>
      </c>
    </row>
    <row r="6" spans="1:40" x14ac:dyDescent="0.25">
      <c r="A6" s="24" t="s">
        <v>359</v>
      </c>
      <c r="B6" s="6">
        <v>41949</v>
      </c>
      <c r="C6">
        <v>1350</v>
      </c>
      <c r="D6" t="s">
        <v>25</v>
      </c>
      <c r="E6">
        <v>1025</v>
      </c>
      <c r="F6">
        <v>1</v>
      </c>
      <c r="G6">
        <v>6020</v>
      </c>
      <c r="H6" t="s">
        <v>248</v>
      </c>
      <c r="I6" t="s">
        <v>354</v>
      </c>
      <c r="J6" t="s">
        <v>360</v>
      </c>
      <c r="K6" t="s">
        <v>371</v>
      </c>
      <c r="L6" t="s">
        <v>262</v>
      </c>
      <c r="M6" t="s">
        <v>266</v>
      </c>
      <c r="N6" t="s">
        <v>272</v>
      </c>
      <c r="O6" t="s">
        <v>330</v>
      </c>
      <c r="P6">
        <v>1351</v>
      </c>
      <c r="Q6">
        <v>105</v>
      </c>
      <c r="R6">
        <v>60</v>
      </c>
      <c r="S6" t="s">
        <v>67</v>
      </c>
      <c r="T6">
        <v>2260</v>
      </c>
      <c r="U6" t="s">
        <v>244</v>
      </c>
      <c r="X6" t="s">
        <v>67</v>
      </c>
      <c r="Y6" t="s">
        <v>277</v>
      </c>
      <c r="Z6" t="s">
        <v>283</v>
      </c>
      <c r="AD6">
        <v>2</v>
      </c>
      <c r="AE6" t="str">
        <f t="shared" si="0"/>
        <v>Evoc1</v>
      </c>
      <c r="AF6" s="6">
        <v>43085</v>
      </c>
      <c r="AN6">
        <f>ROW()</f>
        <v>6</v>
      </c>
    </row>
    <row r="7" spans="1:40" x14ac:dyDescent="0.25">
      <c r="A7" s="24" t="s">
        <v>370</v>
      </c>
      <c r="B7" s="6">
        <v>41215</v>
      </c>
      <c r="C7">
        <v>1325</v>
      </c>
      <c r="D7" t="s">
        <v>27</v>
      </c>
      <c r="E7">
        <v>1052</v>
      </c>
      <c r="F7">
        <v>1</v>
      </c>
      <c r="G7">
        <v>1234</v>
      </c>
      <c r="H7" t="s">
        <v>247</v>
      </c>
      <c r="I7" t="s">
        <v>337</v>
      </c>
      <c r="J7" t="s">
        <v>338</v>
      </c>
      <c r="K7" t="s">
        <v>372</v>
      </c>
      <c r="L7" t="s">
        <v>262</v>
      </c>
      <c r="M7" t="s">
        <v>267</v>
      </c>
      <c r="N7" t="s">
        <v>274</v>
      </c>
      <c r="O7" t="s">
        <v>340</v>
      </c>
      <c r="P7">
        <v>1345</v>
      </c>
      <c r="Q7">
        <v>20</v>
      </c>
      <c r="R7">
        <v>16</v>
      </c>
      <c r="S7" t="s">
        <v>21</v>
      </c>
      <c r="T7">
        <v>2563</v>
      </c>
      <c r="U7" t="s">
        <v>341</v>
      </c>
      <c r="W7" t="s">
        <v>343</v>
      </c>
      <c r="X7" t="s">
        <v>19</v>
      </c>
      <c r="Y7" t="s">
        <v>277</v>
      </c>
      <c r="Z7" t="s">
        <v>283</v>
      </c>
      <c r="AE7" s="36" t="str">
        <f t="shared" si="0"/>
        <v>Evoc1</v>
      </c>
      <c r="AF7" s="6">
        <v>43086</v>
      </c>
      <c r="AN7">
        <f>ROW()</f>
        <v>7</v>
      </c>
    </row>
    <row r="8" spans="1:40" x14ac:dyDescent="0.25">
      <c r="A8" s="24" t="s">
        <v>377</v>
      </c>
      <c r="B8" s="6">
        <v>43041</v>
      </c>
      <c r="C8">
        <v>1350</v>
      </c>
      <c r="D8" t="s">
        <v>93</v>
      </c>
      <c r="E8">
        <v>869</v>
      </c>
      <c r="F8">
        <v>1</v>
      </c>
      <c r="G8">
        <v>6030</v>
      </c>
      <c r="H8" t="s">
        <v>248</v>
      </c>
      <c r="I8" t="s">
        <v>354</v>
      </c>
      <c r="J8" t="s">
        <v>355</v>
      </c>
      <c r="K8" t="s">
        <v>356</v>
      </c>
      <c r="L8" t="s">
        <v>261</v>
      </c>
      <c r="M8" t="s">
        <v>265</v>
      </c>
      <c r="N8" t="s">
        <v>272</v>
      </c>
      <c r="O8" t="s">
        <v>330</v>
      </c>
      <c r="P8">
        <v>1350</v>
      </c>
      <c r="Q8">
        <v>65</v>
      </c>
      <c r="R8">
        <v>70</v>
      </c>
      <c r="S8" t="s">
        <v>21</v>
      </c>
      <c r="T8">
        <v>920</v>
      </c>
      <c r="U8" t="s">
        <v>235</v>
      </c>
      <c r="W8" t="s">
        <v>358</v>
      </c>
      <c r="X8" t="s">
        <v>21</v>
      </c>
      <c r="Y8" t="s">
        <v>277</v>
      </c>
      <c r="Z8" t="s">
        <v>283</v>
      </c>
      <c r="AD8">
        <v>2</v>
      </c>
      <c r="AE8" s="36" t="str">
        <f>"Evoc1"</f>
        <v>Evoc1</v>
      </c>
      <c r="AF8" s="6">
        <v>43087</v>
      </c>
      <c r="AG8" s="6"/>
      <c r="AH8" s="38"/>
      <c r="AM8" t="s">
        <v>378</v>
      </c>
      <c r="AN8">
        <f>ROW()</f>
        <v>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"/>
  <sheetViews>
    <sheetView workbookViewId="0">
      <selection activeCell="J24" sqref="J24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"/>
  <sheetViews>
    <sheetView workbookViewId="0">
      <selection activeCell="J19" sqref="J1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M61"/>
  <sheetViews>
    <sheetView zoomScaleNormal="100" workbookViewId="0">
      <selection activeCell="R10" sqref="R10"/>
    </sheetView>
  </sheetViews>
  <sheetFormatPr defaultRowHeight="15" x14ac:dyDescent="0.25"/>
  <cols>
    <col min="10" max="10" width="2.85546875" customWidth="1"/>
    <col min="11" max="11" width="11.7109375" customWidth="1"/>
    <col min="12" max="12" width="3.42578125" customWidth="1"/>
    <col min="13" max="13" width="10.7109375" customWidth="1"/>
  </cols>
  <sheetData>
    <row r="1" spans="1:13" x14ac:dyDescent="0.25">
      <c r="A1" s="7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4"/>
    </row>
    <row r="2" spans="1:13" x14ac:dyDescent="0.25">
      <c r="A2" s="8"/>
      <c r="B2" s="9"/>
      <c r="C2" s="9"/>
      <c r="D2" s="9"/>
      <c r="E2" s="9"/>
      <c r="F2" s="9"/>
      <c r="G2" s="9"/>
      <c r="H2" s="9"/>
      <c r="I2" s="9"/>
      <c r="J2" s="9"/>
      <c r="K2" s="64" t="s">
        <v>215</v>
      </c>
      <c r="L2" s="64"/>
      <c r="M2" s="32" t="s">
        <v>344</v>
      </c>
    </row>
    <row r="3" spans="1:13" x14ac:dyDescent="0.25">
      <c r="A3" s="8"/>
      <c r="B3" s="9"/>
      <c r="C3" s="9"/>
      <c r="D3" s="9"/>
      <c r="E3" s="9"/>
      <c r="F3" s="9"/>
      <c r="G3" s="9"/>
      <c r="H3" s="9"/>
      <c r="I3" s="9"/>
      <c r="J3" s="9"/>
      <c r="K3" s="110" t="s">
        <v>187</v>
      </c>
      <c r="L3" s="111"/>
      <c r="M3" s="112"/>
    </row>
    <row r="4" spans="1:13" x14ac:dyDescent="0.25">
      <c r="A4" s="8"/>
      <c r="B4" s="9"/>
      <c r="C4" s="9"/>
      <c r="D4" s="9"/>
      <c r="E4" s="9"/>
      <c r="F4" s="9"/>
      <c r="G4" s="9"/>
      <c r="H4" s="9"/>
      <c r="I4" s="9"/>
      <c r="J4" s="9"/>
      <c r="K4" s="113"/>
      <c r="L4" s="114"/>
      <c r="M4" s="115"/>
    </row>
    <row r="5" spans="1:13" x14ac:dyDescent="0.25">
      <c r="A5" s="8"/>
      <c r="B5" s="9"/>
      <c r="C5" s="9"/>
      <c r="D5" s="9"/>
      <c r="E5" s="9"/>
      <c r="F5" s="9"/>
      <c r="G5" s="9"/>
      <c r="H5" s="9"/>
      <c r="I5" s="9"/>
      <c r="J5" s="9"/>
      <c r="K5" s="113"/>
      <c r="L5" s="114"/>
      <c r="M5" s="115"/>
    </row>
    <row r="6" spans="1:13" x14ac:dyDescent="0.25">
      <c r="A6" s="8"/>
      <c r="B6" s="9"/>
      <c r="C6" s="9"/>
      <c r="D6" s="9"/>
      <c r="E6" s="9"/>
      <c r="F6" s="9"/>
      <c r="G6" s="9"/>
      <c r="H6" s="9"/>
      <c r="I6" s="9"/>
      <c r="J6" s="9"/>
      <c r="K6" s="113"/>
      <c r="L6" s="114"/>
      <c r="M6" s="115"/>
    </row>
    <row r="7" spans="1:13" x14ac:dyDescent="0.25">
      <c r="A7" s="8"/>
      <c r="B7" s="9"/>
      <c r="C7" s="9"/>
      <c r="D7" s="9"/>
      <c r="E7" s="9"/>
      <c r="F7" s="9"/>
      <c r="G7" s="9"/>
      <c r="H7" s="9"/>
      <c r="I7" s="9"/>
      <c r="J7" s="9"/>
      <c r="K7" s="113"/>
      <c r="L7" s="114"/>
      <c r="M7" s="115"/>
    </row>
    <row r="8" spans="1:13" x14ac:dyDescent="0.25">
      <c r="A8" s="8"/>
      <c r="B8" s="9"/>
      <c r="C8" s="9"/>
      <c r="D8" s="9"/>
      <c r="E8" s="9"/>
      <c r="F8" s="9"/>
      <c r="G8" s="9"/>
      <c r="H8" s="9"/>
      <c r="I8" s="9"/>
      <c r="J8" s="9"/>
      <c r="K8" s="116"/>
      <c r="L8" s="117"/>
      <c r="M8" s="118"/>
    </row>
    <row r="9" spans="1:13" x14ac:dyDescent="0.25">
      <c r="A9" s="8"/>
      <c r="B9" s="9"/>
      <c r="C9" s="9"/>
      <c r="D9" s="9"/>
      <c r="E9" s="9"/>
      <c r="F9" s="9"/>
      <c r="G9" s="9"/>
      <c r="H9" s="9"/>
      <c r="I9" s="9"/>
      <c r="J9" s="9"/>
      <c r="K9" s="64" t="s">
        <v>352</v>
      </c>
      <c r="L9" s="64"/>
      <c r="M9" s="32"/>
    </row>
    <row r="10" spans="1:13" ht="65.25" customHeight="1" x14ac:dyDescent="0.25">
      <c r="A10" s="119" t="s">
        <v>335</v>
      </c>
      <c r="B10" s="120"/>
      <c r="C10" s="120"/>
      <c r="D10" s="120"/>
      <c r="E10" s="120"/>
      <c r="F10" s="120"/>
      <c r="G10" s="120"/>
      <c r="H10" s="120"/>
      <c r="I10" s="120"/>
      <c r="J10" s="120"/>
      <c r="K10" s="120"/>
      <c r="L10" s="120"/>
      <c r="M10" s="121"/>
    </row>
    <row r="11" spans="1:13" x14ac:dyDescent="0.25">
      <c r="A11" s="28" t="s">
        <v>194</v>
      </c>
      <c r="B11" s="122">
        <v>41944</v>
      </c>
      <c r="C11" s="73"/>
      <c r="D11" s="29" t="s">
        <v>195</v>
      </c>
      <c r="E11" s="73">
        <v>1532</v>
      </c>
      <c r="F11" s="73"/>
      <c r="G11" s="29" t="s">
        <v>188</v>
      </c>
      <c r="H11" s="73" t="s">
        <v>19</v>
      </c>
      <c r="I11" s="73"/>
      <c r="J11" s="73"/>
      <c r="K11" s="64" t="s">
        <v>189</v>
      </c>
      <c r="L11" s="64"/>
      <c r="M11" s="32">
        <v>1024</v>
      </c>
    </row>
    <row r="12" spans="1:13" x14ac:dyDescent="0.25">
      <c r="A12" s="28" t="s">
        <v>190</v>
      </c>
      <c r="B12" s="73">
        <v>2</v>
      </c>
      <c r="C12" s="73"/>
      <c r="D12" s="29" t="s">
        <v>191</v>
      </c>
      <c r="E12" s="73">
        <v>1345</v>
      </c>
      <c r="F12" s="73"/>
      <c r="G12" s="29" t="s">
        <v>192</v>
      </c>
      <c r="H12" s="73" t="s">
        <v>248</v>
      </c>
      <c r="I12" s="73"/>
      <c r="J12" s="73"/>
      <c r="K12" s="73"/>
      <c r="L12" s="73"/>
      <c r="M12" s="104"/>
    </row>
    <row r="13" spans="1:13" ht="3.75" customHeight="1" x14ac:dyDescent="0.25">
      <c r="A13" s="123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5"/>
    </row>
    <row r="14" spans="1:13" x14ac:dyDescent="0.25">
      <c r="A14" s="102" t="s">
        <v>193</v>
      </c>
      <c r="B14" s="103"/>
      <c r="C14" s="73" t="s">
        <v>331</v>
      </c>
      <c r="D14" s="73"/>
      <c r="E14" s="73"/>
      <c r="F14" s="73"/>
      <c r="G14" s="64" t="s">
        <v>231</v>
      </c>
      <c r="H14" s="64"/>
      <c r="I14" s="73" t="s">
        <v>331</v>
      </c>
      <c r="J14" s="73"/>
      <c r="K14" s="73"/>
      <c r="L14" s="73"/>
      <c r="M14" s="104"/>
    </row>
    <row r="15" spans="1:13" x14ac:dyDescent="0.25">
      <c r="A15" s="68" t="s">
        <v>196</v>
      </c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70"/>
    </row>
    <row r="16" spans="1:13" x14ac:dyDescent="0.25">
      <c r="A16" s="105" t="s">
        <v>332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7"/>
    </row>
    <row r="17" spans="1:13" x14ac:dyDescent="0.25">
      <c r="A17" s="105"/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7"/>
    </row>
    <row r="18" spans="1:13" x14ac:dyDescent="0.25">
      <c r="A18" s="105"/>
      <c r="B18" s="106"/>
      <c r="C18" s="106"/>
      <c r="D18" s="106"/>
      <c r="E18" s="106"/>
      <c r="F18" s="106"/>
      <c r="G18" s="106"/>
      <c r="H18" s="106"/>
      <c r="I18" s="106"/>
      <c r="J18" s="106"/>
      <c r="K18" s="106"/>
      <c r="L18" s="106"/>
      <c r="M18" s="107"/>
    </row>
    <row r="19" spans="1:13" x14ac:dyDescent="0.25">
      <c r="A19" s="105"/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7"/>
    </row>
    <row r="20" spans="1:13" x14ac:dyDescent="0.25">
      <c r="A20" s="105"/>
      <c r="B20" s="106"/>
      <c r="C20" s="106"/>
      <c r="D20" s="106"/>
      <c r="E20" s="106"/>
      <c r="F20" s="106"/>
      <c r="G20" s="106"/>
      <c r="H20" s="106"/>
      <c r="I20" s="106"/>
      <c r="J20" s="106"/>
      <c r="K20" s="106"/>
      <c r="L20" s="106"/>
      <c r="M20" s="107"/>
    </row>
    <row r="21" spans="1:13" x14ac:dyDescent="0.25">
      <c r="A21" s="68" t="s">
        <v>197</v>
      </c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70"/>
    </row>
    <row r="22" spans="1:13" x14ac:dyDescent="0.25">
      <c r="A22" s="95" t="s">
        <v>198</v>
      </c>
      <c r="B22" s="64"/>
      <c r="C22" s="73" t="s">
        <v>262</v>
      </c>
      <c r="D22" s="73"/>
      <c r="E22" s="64" t="s">
        <v>199</v>
      </c>
      <c r="F22" s="64"/>
      <c r="G22" s="73" t="s">
        <v>267</v>
      </c>
      <c r="H22" s="73"/>
      <c r="I22" s="64" t="s">
        <v>200</v>
      </c>
      <c r="J22" s="64"/>
      <c r="K22" s="73" t="s">
        <v>274</v>
      </c>
      <c r="L22" s="73"/>
      <c r="M22" s="104"/>
    </row>
    <row r="23" spans="1:13" x14ac:dyDescent="0.25">
      <c r="A23" s="95" t="s">
        <v>202</v>
      </c>
      <c r="B23" s="64"/>
      <c r="C23" s="92" t="s">
        <v>333</v>
      </c>
      <c r="D23" s="92"/>
      <c r="E23" s="92"/>
      <c r="F23" s="92"/>
      <c r="G23" s="92"/>
      <c r="H23" s="92"/>
      <c r="I23" s="92"/>
      <c r="J23" s="92"/>
      <c r="K23" s="92"/>
      <c r="L23" s="92"/>
      <c r="M23" s="93"/>
    </row>
    <row r="24" spans="1:13" x14ac:dyDescent="0.25">
      <c r="A24" s="68" t="s">
        <v>201</v>
      </c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70"/>
    </row>
    <row r="25" spans="1:13" x14ac:dyDescent="0.25">
      <c r="A25" s="30" t="s">
        <v>195</v>
      </c>
      <c r="B25" s="91">
        <v>1533</v>
      </c>
      <c r="C25" s="91"/>
      <c r="D25" s="94" t="s">
        <v>203</v>
      </c>
      <c r="E25" s="94"/>
      <c r="F25" s="96"/>
      <c r="G25" s="97"/>
      <c r="H25" s="97"/>
      <c r="I25" s="98"/>
      <c r="J25" s="99"/>
      <c r="K25" s="100"/>
      <c r="L25" s="100"/>
      <c r="M25" s="101"/>
    </row>
    <row r="26" spans="1:13" ht="3" customHeight="1" x14ac:dyDescent="0.25">
      <c r="A26" s="68"/>
      <c r="B26" s="69"/>
      <c r="C26" s="69"/>
      <c r="D26" s="69"/>
      <c r="E26" s="69"/>
      <c r="F26" s="69"/>
      <c r="G26" s="69"/>
      <c r="H26" s="85" t="s">
        <v>204</v>
      </c>
      <c r="I26" s="86"/>
      <c r="J26" s="86"/>
      <c r="K26" s="86"/>
      <c r="L26" s="86"/>
      <c r="M26" s="87"/>
    </row>
    <row r="27" spans="1:13" x14ac:dyDescent="0.25">
      <c r="A27" s="83" t="s">
        <v>214</v>
      </c>
      <c r="B27" s="84"/>
      <c r="C27" s="84"/>
      <c r="D27" s="73" t="s">
        <v>244</v>
      </c>
      <c r="E27" s="73"/>
      <c r="F27" s="73"/>
      <c r="G27" s="73"/>
      <c r="H27" s="88"/>
      <c r="I27" s="89"/>
      <c r="J27" s="89"/>
      <c r="K27" s="89"/>
      <c r="L27" s="89"/>
      <c r="M27" s="90"/>
    </row>
    <row r="28" spans="1:13" x14ac:dyDescent="0.25">
      <c r="A28" s="83"/>
      <c r="B28" s="84"/>
      <c r="C28" s="84"/>
      <c r="D28" s="73" t="s">
        <v>240</v>
      </c>
      <c r="E28" s="73"/>
      <c r="F28" s="73"/>
      <c r="G28" s="73"/>
      <c r="H28" s="74"/>
      <c r="I28" s="75"/>
      <c r="J28" s="75"/>
      <c r="K28" s="75"/>
      <c r="L28" s="75"/>
      <c r="M28" s="76"/>
    </row>
    <row r="29" spans="1:13" x14ac:dyDescent="0.25">
      <c r="A29" s="83"/>
      <c r="B29" s="84"/>
      <c r="C29" s="84"/>
      <c r="D29" s="73" t="s">
        <v>241</v>
      </c>
      <c r="E29" s="73"/>
      <c r="F29" s="73"/>
      <c r="G29" s="73"/>
      <c r="H29" s="77"/>
      <c r="I29" s="78"/>
      <c r="J29" s="78"/>
      <c r="K29" s="78"/>
      <c r="L29" s="78"/>
      <c r="M29" s="79"/>
    </row>
    <row r="30" spans="1:13" x14ac:dyDescent="0.25">
      <c r="A30" s="83"/>
      <c r="B30" s="84"/>
      <c r="C30" s="84"/>
      <c r="D30" s="73"/>
      <c r="E30" s="73"/>
      <c r="F30" s="73"/>
      <c r="G30" s="73"/>
      <c r="H30" s="77"/>
      <c r="I30" s="78"/>
      <c r="J30" s="78"/>
      <c r="K30" s="78"/>
      <c r="L30" s="78"/>
      <c r="M30" s="79"/>
    </row>
    <row r="31" spans="1:13" x14ac:dyDescent="0.25">
      <c r="A31" s="83"/>
      <c r="B31" s="84"/>
      <c r="C31" s="84"/>
      <c r="D31" s="73"/>
      <c r="E31" s="73"/>
      <c r="F31" s="73"/>
      <c r="G31" s="73"/>
      <c r="H31" s="77"/>
      <c r="I31" s="78"/>
      <c r="J31" s="78"/>
      <c r="K31" s="78"/>
      <c r="L31" s="78"/>
      <c r="M31" s="79"/>
    </row>
    <row r="32" spans="1:13" x14ac:dyDescent="0.25">
      <c r="A32" s="83"/>
      <c r="B32" s="84"/>
      <c r="C32" s="84"/>
      <c r="D32" s="73"/>
      <c r="E32" s="73"/>
      <c r="F32" s="73"/>
      <c r="G32" s="73"/>
      <c r="H32" s="77"/>
      <c r="I32" s="78"/>
      <c r="J32" s="78"/>
      <c r="K32" s="78"/>
      <c r="L32" s="78"/>
      <c r="M32" s="79"/>
    </row>
    <row r="33" spans="1:13" x14ac:dyDescent="0.25">
      <c r="A33" s="83"/>
      <c r="B33" s="84"/>
      <c r="C33" s="84"/>
      <c r="D33" s="73"/>
      <c r="E33" s="73"/>
      <c r="F33" s="73"/>
      <c r="G33" s="73"/>
      <c r="H33" s="77"/>
      <c r="I33" s="78"/>
      <c r="J33" s="78"/>
      <c r="K33" s="78"/>
      <c r="L33" s="78"/>
      <c r="M33" s="79"/>
    </row>
    <row r="34" spans="1:13" x14ac:dyDescent="0.25">
      <c r="A34" s="83"/>
      <c r="B34" s="84"/>
      <c r="C34" s="84"/>
      <c r="D34" s="73"/>
      <c r="E34" s="73"/>
      <c r="F34" s="73"/>
      <c r="G34" s="73"/>
      <c r="H34" s="77"/>
      <c r="I34" s="78"/>
      <c r="J34" s="78"/>
      <c r="K34" s="78"/>
      <c r="L34" s="78"/>
      <c r="M34" s="79"/>
    </row>
    <row r="35" spans="1:13" x14ac:dyDescent="0.25">
      <c r="A35" s="83"/>
      <c r="B35" s="84"/>
      <c r="C35" s="84"/>
      <c r="D35" s="73"/>
      <c r="E35" s="73"/>
      <c r="F35" s="73"/>
      <c r="G35" s="73"/>
      <c r="H35" s="77"/>
      <c r="I35" s="78"/>
      <c r="J35" s="78"/>
      <c r="K35" s="78"/>
      <c r="L35" s="78"/>
      <c r="M35" s="79"/>
    </row>
    <row r="36" spans="1:13" x14ac:dyDescent="0.25">
      <c r="A36" s="83"/>
      <c r="B36" s="84"/>
      <c r="C36" s="84"/>
      <c r="D36" s="73"/>
      <c r="E36" s="73"/>
      <c r="F36" s="73"/>
      <c r="G36" s="73"/>
      <c r="H36" s="77"/>
      <c r="I36" s="78"/>
      <c r="J36" s="78"/>
      <c r="K36" s="78"/>
      <c r="L36" s="78"/>
      <c r="M36" s="79"/>
    </row>
    <row r="37" spans="1:13" x14ac:dyDescent="0.25">
      <c r="A37" s="83"/>
      <c r="B37" s="84"/>
      <c r="C37" s="84"/>
      <c r="D37" s="73"/>
      <c r="E37" s="73"/>
      <c r="F37" s="73"/>
      <c r="G37" s="73"/>
      <c r="H37" s="77"/>
      <c r="I37" s="78"/>
      <c r="J37" s="78"/>
      <c r="K37" s="78"/>
      <c r="L37" s="78"/>
      <c r="M37" s="79"/>
    </row>
    <row r="38" spans="1:13" x14ac:dyDescent="0.25">
      <c r="A38" s="83"/>
      <c r="B38" s="84"/>
      <c r="C38" s="84"/>
      <c r="D38" s="73"/>
      <c r="E38" s="73"/>
      <c r="F38" s="73"/>
      <c r="G38" s="73"/>
      <c r="H38" s="77"/>
      <c r="I38" s="78"/>
      <c r="J38" s="78"/>
      <c r="K38" s="78"/>
      <c r="L38" s="78"/>
      <c r="M38" s="79"/>
    </row>
    <row r="39" spans="1:13" x14ac:dyDescent="0.25">
      <c r="A39" s="83"/>
      <c r="B39" s="84"/>
      <c r="C39" s="84"/>
      <c r="D39" s="73"/>
      <c r="E39" s="73"/>
      <c r="F39" s="73"/>
      <c r="G39" s="73"/>
      <c r="H39" s="77"/>
      <c r="I39" s="78"/>
      <c r="J39" s="78"/>
      <c r="K39" s="78"/>
      <c r="L39" s="78"/>
      <c r="M39" s="79"/>
    </row>
    <row r="40" spans="1:13" x14ac:dyDescent="0.25">
      <c r="A40" s="83"/>
      <c r="B40" s="84"/>
      <c r="C40" s="84"/>
      <c r="D40" s="73"/>
      <c r="E40" s="73"/>
      <c r="F40" s="73"/>
      <c r="G40" s="73"/>
      <c r="H40" s="80"/>
      <c r="I40" s="81"/>
      <c r="J40" s="81"/>
      <c r="K40" s="81"/>
      <c r="L40" s="81"/>
      <c r="M40" s="82"/>
    </row>
    <row r="41" spans="1:13" x14ac:dyDescent="0.25">
      <c r="A41" s="72" t="s">
        <v>208</v>
      </c>
      <c r="B41" s="71"/>
      <c r="C41" s="31">
        <v>100</v>
      </c>
      <c r="D41" s="71" t="s">
        <v>206</v>
      </c>
      <c r="E41" s="71"/>
      <c r="F41" s="31">
        <v>25</v>
      </c>
      <c r="G41" s="64" t="s">
        <v>205</v>
      </c>
      <c r="H41" s="64"/>
      <c r="I41" s="73" t="s">
        <v>27</v>
      </c>
      <c r="J41" s="73"/>
      <c r="K41" s="108" t="s">
        <v>207</v>
      </c>
      <c r="L41" s="109"/>
      <c r="M41" s="32">
        <v>2345</v>
      </c>
    </row>
    <row r="42" spans="1:13" x14ac:dyDescent="0.25">
      <c r="A42" s="68" t="s">
        <v>209</v>
      </c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  <c r="M42" s="70"/>
    </row>
    <row r="43" spans="1:13" x14ac:dyDescent="0.25">
      <c r="A43" s="8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10"/>
    </row>
    <row r="44" spans="1:13" x14ac:dyDescent="0.25">
      <c r="A44" s="8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10"/>
    </row>
    <row r="45" spans="1:13" x14ac:dyDescent="0.25">
      <c r="A45" s="67" t="s">
        <v>188</v>
      </c>
      <c r="B45" s="63"/>
      <c r="C45" s="62"/>
      <c r="D45" s="62"/>
      <c r="E45" s="62"/>
      <c r="F45" s="62"/>
      <c r="G45" s="62"/>
      <c r="H45" s="18"/>
      <c r="I45" s="63" t="s">
        <v>194</v>
      </c>
      <c r="J45" s="63"/>
      <c r="K45" s="62"/>
      <c r="L45" s="62"/>
      <c r="M45" s="20"/>
    </row>
    <row r="46" spans="1:13" x14ac:dyDescent="0.25">
      <c r="A46" s="8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10"/>
    </row>
    <row r="47" spans="1:13" x14ac:dyDescent="0.25">
      <c r="A47" s="8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10"/>
    </row>
    <row r="48" spans="1:13" x14ac:dyDescent="0.25">
      <c r="A48" s="67" t="s">
        <v>210</v>
      </c>
      <c r="B48" s="63"/>
      <c r="C48" s="33"/>
      <c r="D48" s="33"/>
      <c r="E48" s="33"/>
      <c r="F48" s="33"/>
      <c r="G48" s="33"/>
      <c r="H48" s="33"/>
      <c r="I48" s="63" t="s">
        <v>194</v>
      </c>
      <c r="J48" s="63"/>
      <c r="K48" s="62"/>
      <c r="L48" s="62"/>
      <c r="M48" s="20"/>
    </row>
    <row r="49" spans="1:13" x14ac:dyDescent="0.25">
      <c r="A49" s="8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10"/>
    </row>
    <row r="50" spans="1:13" x14ac:dyDescent="0.25">
      <c r="A50" s="8"/>
      <c r="B50" s="9"/>
      <c r="C50" s="9"/>
      <c r="D50" s="9"/>
      <c r="E50" s="9"/>
      <c r="F50" s="9"/>
      <c r="G50" s="9"/>
      <c r="H50" s="9"/>
      <c r="I50" s="63" t="s">
        <v>194</v>
      </c>
      <c r="J50" s="63"/>
      <c r="K50" s="9"/>
      <c r="L50" s="9"/>
      <c r="M50" s="10"/>
    </row>
    <row r="51" spans="1:13" x14ac:dyDescent="0.25">
      <c r="A51" s="67" t="s">
        <v>211</v>
      </c>
      <c r="B51" s="63"/>
      <c r="C51" s="33"/>
      <c r="D51" s="33"/>
      <c r="E51" s="33"/>
      <c r="F51" s="33"/>
      <c r="G51" s="33"/>
      <c r="H51" s="33"/>
      <c r="I51" s="63"/>
      <c r="J51" s="63"/>
      <c r="K51" s="62"/>
      <c r="L51" s="62"/>
      <c r="M51" s="20"/>
    </row>
    <row r="52" spans="1:13" x14ac:dyDescent="0.25">
      <c r="A52" s="8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10"/>
    </row>
    <row r="53" spans="1:13" x14ac:dyDescent="0.25">
      <c r="A53" s="8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10"/>
    </row>
    <row r="54" spans="1:13" x14ac:dyDescent="0.25">
      <c r="A54" s="67" t="s">
        <v>212</v>
      </c>
      <c r="B54" s="63"/>
      <c r="C54" s="33"/>
      <c r="D54" s="33"/>
      <c r="E54" s="33"/>
      <c r="F54" s="33"/>
      <c r="G54" s="33"/>
      <c r="H54" s="33"/>
      <c r="I54" s="63" t="s">
        <v>194</v>
      </c>
      <c r="J54" s="63"/>
      <c r="K54" s="62"/>
      <c r="L54" s="62"/>
      <c r="M54" s="10"/>
    </row>
    <row r="55" spans="1:13" x14ac:dyDescent="0.25">
      <c r="A55" s="8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10"/>
    </row>
    <row r="56" spans="1:13" x14ac:dyDescent="0.25">
      <c r="A56" s="8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10"/>
    </row>
    <row r="57" spans="1:13" x14ac:dyDescent="0.25">
      <c r="A57" s="8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10"/>
    </row>
    <row r="58" spans="1:13" x14ac:dyDescent="0.25">
      <c r="A58" s="8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10"/>
    </row>
    <row r="59" spans="1:13" x14ac:dyDescent="0.25">
      <c r="A59" s="8"/>
      <c r="B59" s="9"/>
      <c r="C59" s="9"/>
      <c r="D59" s="9"/>
      <c r="E59" s="9"/>
      <c r="F59" s="9"/>
      <c r="G59" s="65" t="s">
        <v>213</v>
      </c>
      <c r="H59" s="65"/>
      <c r="I59" s="65"/>
      <c r="J59" s="65"/>
      <c r="K59" s="65"/>
      <c r="L59" s="65"/>
      <c r="M59" s="66"/>
    </row>
    <row r="60" spans="1:13" ht="15.75" thickBot="1" x14ac:dyDescent="0.3">
      <c r="A60" s="15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7"/>
    </row>
    <row r="61" spans="1:13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</row>
  </sheetData>
  <dataConsolidate/>
  <mergeCells count="70">
    <mergeCell ref="K9:L9"/>
    <mergeCell ref="K41:L41"/>
    <mergeCell ref="K3:M8"/>
    <mergeCell ref="A10:M10"/>
    <mergeCell ref="B11:C11"/>
    <mergeCell ref="E11:F11"/>
    <mergeCell ref="H11:J11"/>
    <mergeCell ref="K11:L11"/>
    <mergeCell ref="B12:C12"/>
    <mergeCell ref="E12:F12"/>
    <mergeCell ref="H12:M12"/>
    <mergeCell ref="D29:G29"/>
    <mergeCell ref="D30:G30"/>
    <mergeCell ref="A13:M13"/>
    <mergeCell ref="K22:M22"/>
    <mergeCell ref="A24:M24"/>
    <mergeCell ref="A14:B14"/>
    <mergeCell ref="I22:J22"/>
    <mergeCell ref="I14:M14"/>
    <mergeCell ref="A15:M15"/>
    <mergeCell ref="A16:M20"/>
    <mergeCell ref="A21:M21"/>
    <mergeCell ref="C14:F14"/>
    <mergeCell ref="G14:H14"/>
    <mergeCell ref="A22:B22"/>
    <mergeCell ref="C22:D22"/>
    <mergeCell ref="E22:F22"/>
    <mergeCell ref="G22:H22"/>
    <mergeCell ref="B25:C25"/>
    <mergeCell ref="C23:M23"/>
    <mergeCell ref="D25:E25"/>
    <mergeCell ref="A23:B23"/>
    <mergeCell ref="F25:I25"/>
    <mergeCell ref="J25:M25"/>
    <mergeCell ref="D39:G39"/>
    <mergeCell ref="D40:G40"/>
    <mergeCell ref="H28:M40"/>
    <mergeCell ref="A27:C40"/>
    <mergeCell ref="H26:M27"/>
    <mergeCell ref="A26:G26"/>
    <mergeCell ref="D32:G32"/>
    <mergeCell ref="D33:G33"/>
    <mergeCell ref="D34:G34"/>
    <mergeCell ref="D35:G35"/>
    <mergeCell ref="D36:G36"/>
    <mergeCell ref="D37:G37"/>
    <mergeCell ref="D27:G27"/>
    <mergeCell ref="D28:G28"/>
    <mergeCell ref="D31:G31"/>
    <mergeCell ref="K2:L2"/>
    <mergeCell ref="G59:M59"/>
    <mergeCell ref="A48:B48"/>
    <mergeCell ref="A51:B51"/>
    <mergeCell ref="A54:B54"/>
    <mergeCell ref="I48:J48"/>
    <mergeCell ref="I50:J51"/>
    <mergeCell ref="A42:M42"/>
    <mergeCell ref="A45:B45"/>
    <mergeCell ref="C45:G45"/>
    <mergeCell ref="I45:J45"/>
    <mergeCell ref="D41:E41"/>
    <mergeCell ref="G41:H41"/>
    <mergeCell ref="A41:B41"/>
    <mergeCell ref="I41:J41"/>
    <mergeCell ref="D38:G38"/>
    <mergeCell ref="K45:L45"/>
    <mergeCell ref="K48:L48"/>
    <mergeCell ref="K51:L51"/>
    <mergeCell ref="K54:L54"/>
    <mergeCell ref="I54:J54"/>
  </mergeCells>
  <pageMargins left="0.7" right="0.7" top="0.75" bottom="0.75" header="0.3" footer="0.3"/>
  <pageSetup scale="76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M48"/>
  <sheetViews>
    <sheetView zoomScaleNormal="100" workbookViewId="0">
      <selection activeCell="M2" sqref="M2"/>
    </sheetView>
  </sheetViews>
  <sheetFormatPr defaultRowHeight="15" x14ac:dyDescent="0.25"/>
  <cols>
    <col min="10" max="10" width="2.85546875" customWidth="1"/>
    <col min="11" max="11" width="11.7109375" customWidth="1"/>
    <col min="12" max="12" width="3.42578125" customWidth="1"/>
    <col min="13" max="13" width="10.7109375" customWidth="1"/>
  </cols>
  <sheetData>
    <row r="1" spans="1:13" x14ac:dyDescent="0.25">
      <c r="A1" s="7"/>
      <c r="B1" s="13"/>
      <c r="C1" s="13"/>
      <c r="D1" s="13"/>
      <c r="E1" s="13"/>
      <c r="F1" s="13"/>
      <c r="G1" s="13"/>
      <c r="H1" s="13"/>
      <c r="I1" s="13"/>
      <c r="J1" s="153"/>
      <c r="K1" s="153"/>
      <c r="L1" s="13"/>
      <c r="M1" s="14"/>
    </row>
    <row r="2" spans="1:13" x14ac:dyDescent="0.25">
      <c r="A2" s="8"/>
      <c r="B2" s="9"/>
      <c r="C2" s="9"/>
      <c r="D2" s="9"/>
      <c r="E2" s="9"/>
      <c r="F2" s="9"/>
      <c r="G2" s="9"/>
      <c r="H2" s="9"/>
      <c r="I2" s="9"/>
      <c r="J2" s="9"/>
      <c r="K2" s="65" t="s">
        <v>215</v>
      </c>
      <c r="L2" s="65"/>
      <c r="M2" s="10"/>
    </row>
    <row r="3" spans="1:13" x14ac:dyDescent="0.25">
      <c r="A3" s="8"/>
      <c r="B3" s="9"/>
      <c r="C3" s="9"/>
      <c r="D3" s="9"/>
      <c r="E3" s="9"/>
      <c r="F3" s="9"/>
      <c r="G3" s="9"/>
      <c r="H3" s="9"/>
      <c r="I3" s="9"/>
      <c r="J3" s="9"/>
      <c r="K3" s="172" t="s">
        <v>229</v>
      </c>
      <c r="L3" s="114"/>
      <c r="M3" s="115"/>
    </row>
    <row r="4" spans="1:13" x14ac:dyDescent="0.25">
      <c r="A4" s="8"/>
      <c r="B4" s="9"/>
      <c r="C4" s="9"/>
      <c r="D4" s="9"/>
      <c r="E4" s="9"/>
      <c r="F4" s="9"/>
      <c r="G4" s="9"/>
      <c r="H4" s="9"/>
      <c r="I4" s="9"/>
      <c r="J4" s="9"/>
      <c r="K4" s="114"/>
      <c r="L4" s="114"/>
      <c r="M4" s="115"/>
    </row>
    <row r="5" spans="1:13" x14ac:dyDescent="0.25">
      <c r="A5" s="8"/>
      <c r="B5" s="9"/>
      <c r="C5" s="9"/>
      <c r="D5" s="9"/>
      <c r="E5" s="9"/>
      <c r="F5" s="9"/>
      <c r="G5" s="9"/>
      <c r="H5" s="9"/>
      <c r="I5" s="9"/>
      <c r="J5" s="9"/>
      <c r="K5" s="114"/>
      <c r="L5" s="114"/>
      <c r="M5" s="115"/>
    </row>
    <row r="6" spans="1:13" x14ac:dyDescent="0.25">
      <c r="A6" s="8"/>
      <c r="B6" s="9"/>
      <c r="C6" s="9"/>
      <c r="D6" s="9"/>
      <c r="E6" s="9"/>
      <c r="F6" s="9"/>
      <c r="G6" s="9"/>
      <c r="H6" s="9"/>
      <c r="I6" s="9"/>
      <c r="J6" s="9"/>
      <c r="K6" s="114"/>
      <c r="L6" s="114"/>
      <c r="M6" s="115"/>
    </row>
    <row r="7" spans="1:13" x14ac:dyDescent="0.25">
      <c r="A7" s="8"/>
      <c r="B7" s="9"/>
      <c r="C7" s="9"/>
      <c r="D7" s="9"/>
      <c r="E7" s="9"/>
      <c r="F7" s="9"/>
      <c r="G7" s="9"/>
      <c r="H7" s="9"/>
      <c r="I7" s="9"/>
      <c r="J7" s="9"/>
      <c r="K7" s="114"/>
      <c r="L7" s="114"/>
      <c r="M7" s="115"/>
    </row>
    <row r="8" spans="1:13" x14ac:dyDescent="0.25">
      <c r="A8" s="8"/>
      <c r="B8" s="9"/>
      <c r="C8" s="9"/>
      <c r="D8" s="9"/>
      <c r="E8" s="9"/>
      <c r="F8" s="9"/>
      <c r="G8" s="9"/>
      <c r="H8" s="9"/>
      <c r="I8" s="9"/>
      <c r="J8" s="9"/>
      <c r="K8" s="114"/>
      <c r="L8" s="114"/>
      <c r="M8" s="115"/>
    </row>
    <row r="9" spans="1:13" x14ac:dyDescent="0.25">
      <c r="A9" s="8"/>
      <c r="B9" s="9"/>
      <c r="C9" s="9"/>
      <c r="D9" s="9"/>
      <c r="E9" s="9"/>
      <c r="F9" s="9"/>
      <c r="G9" s="9"/>
      <c r="H9" s="9"/>
      <c r="I9" s="171"/>
      <c r="J9" s="171"/>
      <c r="K9" s="171"/>
      <c r="L9" s="171"/>
      <c r="M9" s="10"/>
    </row>
    <row r="10" spans="1:13" ht="93" customHeight="1" x14ac:dyDescent="0.25">
      <c r="A10" s="173" t="s">
        <v>230</v>
      </c>
      <c r="B10" s="174"/>
      <c r="C10" s="174"/>
      <c r="D10" s="174"/>
      <c r="E10" s="174"/>
      <c r="F10" s="174"/>
      <c r="G10" s="174"/>
      <c r="H10" s="174"/>
      <c r="I10" s="174"/>
      <c r="J10" s="174"/>
      <c r="K10" s="174"/>
      <c r="L10" s="174"/>
      <c r="M10" s="175"/>
    </row>
    <row r="11" spans="1:13" x14ac:dyDescent="0.25">
      <c r="A11" s="21" t="s">
        <v>194</v>
      </c>
      <c r="B11" s="92"/>
      <c r="C11" s="92"/>
      <c r="D11" s="11" t="s">
        <v>195</v>
      </c>
      <c r="E11" s="92"/>
      <c r="F11" s="92"/>
      <c r="G11" s="11" t="s">
        <v>188</v>
      </c>
      <c r="H11" s="92"/>
      <c r="I11" s="92"/>
      <c r="J11" s="92"/>
      <c r="K11" s="92" t="s">
        <v>189</v>
      </c>
      <c r="L11" s="92"/>
      <c r="M11" s="19"/>
    </row>
    <row r="12" spans="1:13" x14ac:dyDescent="0.25">
      <c r="A12" s="21" t="s">
        <v>312</v>
      </c>
      <c r="B12" s="73"/>
      <c r="C12" s="73"/>
      <c r="D12" s="12" t="s">
        <v>313</v>
      </c>
      <c r="E12" s="73"/>
      <c r="F12" s="73"/>
      <c r="G12" s="73" t="s">
        <v>314</v>
      </c>
      <c r="H12" s="73"/>
      <c r="I12" s="73"/>
      <c r="J12" s="73"/>
      <c r="K12" s="73"/>
      <c r="L12" s="73"/>
      <c r="M12" s="104"/>
    </row>
    <row r="13" spans="1:13" x14ac:dyDescent="0.25">
      <c r="A13" s="137" t="s">
        <v>318</v>
      </c>
      <c r="B13" s="138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9"/>
    </row>
    <row r="14" spans="1:13" x14ac:dyDescent="0.25">
      <c r="A14" s="140" t="s">
        <v>198</v>
      </c>
      <c r="B14" s="141"/>
      <c r="C14" s="141"/>
      <c r="D14" s="141"/>
      <c r="E14" s="141" t="s">
        <v>319</v>
      </c>
      <c r="F14" s="141"/>
      <c r="G14" s="141"/>
      <c r="H14" s="141"/>
      <c r="I14" s="141" t="s">
        <v>200</v>
      </c>
      <c r="J14" s="141"/>
      <c r="K14" s="142"/>
      <c r="L14" s="142"/>
      <c r="M14" s="143"/>
    </row>
    <row r="15" spans="1:13" x14ac:dyDescent="0.25">
      <c r="A15" s="154" t="s">
        <v>315</v>
      </c>
      <c r="B15" s="155"/>
      <c r="C15" s="155"/>
      <c r="D15" s="155"/>
      <c r="E15" s="155"/>
      <c r="F15" s="155"/>
      <c r="G15" s="155"/>
      <c r="H15" s="155"/>
      <c r="I15" s="155"/>
      <c r="J15" s="155"/>
      <c r="K15" s="155"/>
      <c r="L15" s="155"/>
      <c r="M15" s="156"/>
    </row>
    <row r="16" spans="1:13" x14ac:dyDescent="0.25">
      <c r="A16" s="135" t="s">
        <v>316</v>
      </c>
      <c r="B16" s="136"/>
      <c r="C16" s="136"/>
      <c r="D16" s="136"/>
      <c r="E16" s="136"/>
      <c r="F16" s="126" t="s">
        <v>317</v>
      </c>
      <c r="G16" s="126"/>
      <c r="H16" s="126"/>
      <c r="I16" s="126"/>
      <c r="J16" s="126"/>
      <c r="K16" s="126"/>
      <c r="L16" s="126"/>
      <c r="M16" s="127"/>
    </row>
    <row r="17" spans="1:13" x14ac:dyDescent="0.25">
      <c r="A17" s="135" t="s">
        <v>320</v>
      </c>
      <c r="B17" s="136"/>
      <c r="C17" s="26"/>
      <c r="D17" s="136" t="s">
        <v>322</v>
      </c>
      <c r="E17" s="136"/>
      <c r="F17" s="26"/>
      <c r="G17" s="136" t="s">
        <v>324</v>
      </c>
      <c r="H17" s="136"/>
      <c r="I17" s="136"/>
      <c r="J17" s="126"/>
      <c r="K17" s="126"/>
      <c r="L17" s="126"/>
      <c r="M17" s="127"/>
    </row>
    <row r="18" spans="1:13" x14ac:dyDescent="0.25">
      <c r="A18" s="135" t="s">
        <v>321</v>
      </c>
      <c r="B18" s="136"/>
      <c r="C18" s="26"/>
      <c r="D18" s="136" t="s">
        <v>323</v>
      </c>
      <c r="E18" s="136"/>
      <c r="F18" s="26"/>
      <c r="G18" s="69"/>
      <c r="H18" s="69"/>
      <c r="I18" s="69"/>
      <c r="J18" s="69"/>
      <c r="K18" s="69"/>
      <c r="L18" s="69"/>
      <c r="M18" s="70"/>
    </row>
    <row r="19" spans="1:13" x14ac:dyDescent="0.25">
      <c r="A19" s="157" t="s">
        <v>221</v>
      </c>
      <c r="B19" s="92"/>
      <c r="C19" s="73"/>
      <c r="D19" s="73"/>
      <c r="E19" s="92" t="s">
        <v>222</v>
      </c>
      <c r="F19" s="92"/>
      <c r="G19" s="73"/>
      <c r="H19" s="73"/>
      <c r="I19" s="158" t="s">
        <v>223</v>
      </c>
      <c r="J19" s="159"/>
      <c r="K19" s="160"/>
      <c r="L19" s="96"/>
      <c r="M19" s="161"/>
    </row>
    <row r="20" spans="1:13" x14ac:dyDescent="0.25">
      <c r="A20" s="128" t="s">
        <v>325</v>
      </c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30"/>
    </row>
    <row r="21" spans="1:13" x14ac:dyDescent="0.25">
      <c r="A21" s="162"/>
      <c r="B21" s="163"/>
      <c r="C21" s="163"/>
      <c r="D21" s="163"/>
      <c r="E21" s="163"/>
      <c r="F21" s="163"/>
      <c r="G21" s="163"/>
      <c r="H21" s="163"/>
      <c r="I21" s="163"/>
      <c r="J21" s="163"/>
      <c r="K21" s="163"/>
      <c r="L21" s="163"/>
      <c r="M21" s="164"/>
    </row>
    <row r="22" spans="1:13" x14ac:dyDescent="0.25">
      <c r="A22" s="165"/>
      <c r="B22" s="166"/>
      <c r="C22" s="166"/>
      <c r="D22" s="166"/>
      <c r="E22" s="166"/>
      <c r="F22" s="166"/>
      <c r="G22" s="166"/>
      <c r="H22" s="166"/>
      <c r="I22" s="166"/>
      <c r="J22" s="166"/>
      <c r="K22" s="166"/>
      <c r="L22" s="166"/>
      <c r="M22" s="167"/>
    </row>
    <row r="23" spans="1:13" ht="75" customHeight="1" x14ac:dyDescent="0.25">
      <c r="A23" s="168"/>
      <c r="B23" s="169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70"/>
    </row>
    <row r="24" spans="1:13" ht="15" customHeight="1" x14ac:dyDescent="0.25">
      <c r="A24" s="131" t="s">
        <v>205</v>
      </c>
      <c r="B24" s="132"/>
      <c r="C24" s="27"/>
      <c r="D24" s="132" t="s">
        <v>207</v>
      </c>
      <c r="E24" s="132"/>
      <c r="F24" s="27"/>
      <c r="G24" s="133"/>
      <c r="H24" s="133"/>
      <c r="I24" s="133"/>
      <c r="J24" s="133"/>
      <c r="K24" s="133"/>
      <c r="L24" s="133"/>
      <c r="M24" s="134"/>
    </row>
    <row r="25" spans="1:13" x14ac:dyDescent="0.25">
      <c r="A25" s="128" t="s">
        <v>326</v>
      </c>
      <c r="B25" s="129"/>
      <c r="C25" s="129"/>
      <c r="D25" s="129"/>
      <c r="E25" s="129"/>
      <c r="F25" s="129"/>
      <c r="G25" s="129"/>
      <c r="H25" s="129"/>
      <c r="I25" s="129"/>
      <c r="J25" s="129"/>
      <c r="K25" s="129"/>
      <c r="L25" s="129"/>
      <c r="M25" s="130"/>
    </row>
    <row r="26" spans="1:13" x14ac:dyDescent="0.25">
      <c r="A26" s="144"/>
      <c r="B26" s="145"/>
      <c r="C26" s="145"/>
      <c r="D26" s="145"/>
      <c r="E26" s="145"/>
      <c r="F26" s="145"/>
      <c r="G26" s="145"/>
      <c r="H26" s="145"/>
      <c r="I26" s="145"/>
      <c r="J26" s="145"/>
      <c r="K26" s="145"/>
      <c r="L26" s="145"/>
      <c r="M26" s="146"/>
    </row>
    <row r="27" spans="1:13" x14ac:dyDescent="0.25">
      <c r="A27" s="147"/>
      <c r="B27" s="148"/>
      <c r="C27" s="148"/>
      <c r="D27" s="148"/>
      <c r="E27" s="148"/>
      <c r="F27" s="148"/>
      <c r="G27" s="148"/>
      <c r="H27" s="148"/>
      <c r="I27" s="148"/>
      <c r="J27" s="148"/>
      <c r="K27" s="148"/>
      <c r="L27" s="148"/>
      <c r="M27" s="149"/>
    </row>
    <row r="28" spans="1:13" ht="75" customHeight="1" x14ac:dyDescent="0.25">
      <c r="A28" s="150"/>
      <c r="B28" s="151"/>
      <c r="C28" s="151"/>
      <c r="D28" s="151"/>
      <c r="E28" s="151"/>
      <c r="F28" s="151"/>
      <c r="G28" s="151"/>
      <c r="H28" s="151"/>
      <c r="I28" s="151"/>
      <c r="J28" s="151"/>
      <c r="K28" s="151"/>
      <c r="L28" s="151"/>
      <c r="M28" s="152"/>
    </row>
    <row r="29" spans="1:13" x14ac:dyDescent="0.25">
      <c r="A29" s="176" t="s">
        <v>209</v>
      </c>
      <c r="B29" s="177"/>
      <c r="C29" s="177"/>
      <c r="D29" s="177"/>
      <c r="E29" s="177"/>
      <c r="F29" s="177"/>
      <c r="G29" s="177"/>
      <c r="H29" s="177"/>
      <c r="I29" s="177"/>
      <c r="J29" s="177"/>
      <c r="K29" s="177"/>
      <c r="L29" s="177"/>
      <c r="M29" s="178"/>
    </row>
    <row r="30" spans="1:13" x14ac:dyDescent="0.25">
      <c r="A30" s="8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10"/>
    </row>
    <row r="31" spans="1:13" x14ac:dyDescent="0.25">
      <c r="A31" s="8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10"/>
    </row>
    <row r="32" spans="1:13" x14ac:dyDescent="0.25">
      <c r="A32" s="67" t="s">
        <v>188</v>
      </c>
      <c r="B32" s="63"/>
      <c r="C32" s="62"/>
      <c r="D32" s="62"/>
      <c r="E32" s="62"/>
      <c r="F32" s="62"/>
      <c r="G32" s="62"/>
      <c r="H32" s="18"/>
      <c r="I32" s="63" t="s">
        <v>194</v>
      </c>
      <c r="J32" s="63"/>
      <c r="K32" s="18"/>
      <c r="L32" s="18"/>
      <c r="M32" s="20"/>
    </row>
    <row r="33" spans="1:13" x14ac:dyDescent="0.25">
      <c r="A33" s="8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10"/>
    </row>
    <row r="34" spans="1:13" x14ac:dyDescent="0.25">
      <c r="A34" s="8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10"/>
    </row>
    <row r="35" spans="1:13" x14ac:dyDescent="0.25">
      <c r="A35" s="67" t="s">
        <v>210</v>
      </c>
      <c r="B35" s="63"/>
      <c r="C35" s="25"/>
      <c r="D35" s="25"/>
      <c r="E35" s="25"/>
      <c r="F35" s="25"/>
      <c r="G35" s="25"/>
      <c r="H35" s="25"/>
      <c r="I35" s="63" t="s">
        <v>194</v>
      </c>
      <c r="J35" s="63"/>
      <c r="K35" s="18"/>
      <c r="L35" s="18"/>
      <c r="M35" s="20"/>
    </row>
    <row r="36" spans="1:13" x14ac:dyDescent="0.25">
      <c r="A36" s="8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10"/>
    </row>
    <row r="37" spans="1:13" x14ac:dyDescent="0.25">
      <c r="A37" s="8"/>
      <c r="B37" s="9"/>
      <c r="C37" s="9"/>
      <c r="D37" s="9"/>
      <c r="E37" s="9"/>
      <c r="F37" s="9"/>
      <c r="G37" s="9"/>
      <c r="H37" s="9"/>
      <c r="I37" s="63" t="s">
        <v>194</v>
      </c>
      <c r="J37" s="63"/>
      <c r="K37" s="9"/>
      <c r="L37" s="9"/>
      <c r="M37" s="10"/>
    </row>
    <row r="38" spans="1:13" x14ac:dyDescent="0.25">
      <c r="A38" s="67" t="s">
        <v>211</v>
      </c>
      <c r="B38" s="63"/>
      <c r="C38" s="25"/>
      <c r="D38" s="25"/>
      <c r="E38" s="25"/>
      <c r="F38" s="25"/>
      <c r="G38" s="25"/>
      <c r="H38" s="25"/>
      <c r="I38" s="63"/>
      <c r="J38" s="63"/>
      <c r="K38" s="18"/>
      <c r="L38" s="18"/>
      <c r="M38" s="20"/>
    </row>
    <row r="39" spans="1:13" x14ac:dyDescent="0.25">
      <c r="A39" s="8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10"/>
    </row>
    <row r="40" spans="1:13" x14ac:dyDescent="0.25">
      <c r="A40" s="8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10"/>
    </row>
    <row r="41" spans="1:13" x14ac:dyDescent="0.25">
      <c r="A41" s="67" t="s">
        <v>212</v>
      </c>
      <c r="B41" s="63"/>
      <c r="C41" s="25"/>
      <c r="D41" s="25"/>
      <c r="E41" s="25"/>
      <c r="F41" s="25"/>
      <c r="G41" s="25"/>
      <c r="H41" s="25"/>
      <c r="I41" s="63" t="s">
        <v>194</v>
      </c>
      <c r="J41" s="63"/>
      <c r="K41" s="18"/>
      <c r="L41" s="18"/>
      <c r="M41" s="10"/>
    </row>
    <row r="42" spans="1:13" x14ac:dyDescent="0.25">
      <c r="A42" s="8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10"/>
    </row>
    <row r="43" spans="1:13" ht="23.25" customHeight="1" x14ac:dyDescent="0.25">
      <c r="A43" s="8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10"/>
    </row>
    <row r="44" spans="1:13" x14ac:dyDescent="0.25">
      <c r="A44" s="8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10"/>
    </row>
    <row r="45" spans="1:13" x14ac:dyDescent="0.25">
      <c r="A45" s="8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10"/>
    </row>
    <row r="46" spans="1:13" x14ac:dyDescent="0.25">
      <c r="A46" s="8"/>
      <c r="B46" s="9"/>
      <c r="C46" s="9"/>
      <c r="D46" s="9"/>
      <c r="E46" s="9"/>
      <c r="F46" s="9"/>
      <c r="G46" s="65"/>
      <c r="H46" s="65"/>
      <c r="I46" s="65"/>
      <c r="J46" s="65"/>
      <c r="K46" s="65"/>
      <c r="L46" s="65"/>
      <c r="M46" s="66"/>
    </row>
    <row r="47" spans="1:13" ht="15.75" thickBot="1" x14ac:dyDescent="0.3">
      <c r="A47" s="15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7"/>
    </row>
    <row r="48" spans="1:13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</row>
  </sheetData>
  <mergeCells count="58">
    <mergeCell ref="E11:F11"/>
    <mergeCell ref="H11:J11"/>
    <mergeCell ref="K11:L11"/>
    <mergeCell ref="B12:C12"/>
    <mergeCell ref="E12:F12"/>
    <mergeCell ref="G12:I12"/>
    <mergeCell ref="J12:K12"/>
    <mergeCell ref="L12:M12"/>
    <mergeCell ref="A29:M29"/>
    <mergeCell ref="A32:B32"/>
    <mergeCell ref="C32:G32"/>
    <mergeCell ref="I32:J32"/>
    <mergeCell ref="A35:B35"/>
    <mergeCell ref="I35:J35"/>
    <mergeCell ref="I37:J38"/>
    <mergeCell ref="A38:B38"/>
    <mergeCell ref="A41:B41"/>
    <mergeCell ref="I41:J41"/>
    <mergeCell ref="G46:M46"/>
    <mergeCell ref="A25:M25"/>
    <mergeCell ref="A26:M28"/>
    <mergeCell ref="J1:K1"/>
    <mergeCell ref="K2:L2"/>
    <mergeCell ref="A15:M15"/>
    <mergeCell ref="A19:B19"/>
    <mergeCell ref="C19:D19"/>
    <mergeCell ref="E19:F19"/>
    <mergeCell ref="G19:H19"/>
    <mergeCell ref="I19:K19"/>
    <mergeCell ref="L19:M19"/>
    <mergeCell ref="A21:M23"/>
    <mergeCell ref="I9:L9"/>
    <mergeCell ref="K3:M8"/>
    <mergeCell ref="A10:M10"/>
    <mergeCell ref="B11:C11"/>
    <mergeCell ref="A16:B16"/>
    <mergeCell ref="C16:E16"/>
    <mergeCell ref="F16:H16"/>
    <mergeCell ref="I16:K16"/>
    <mergeCell ref="L16:M16"/>
    <mergeCell ref="A13:M13"/>
    <mergeCell ref="A14:B14"/>
    <mergeCell ref="C14:D14"/>
    <mergeCell ref="E14:F14"/>
    <mergeCell ref="G14:H14"/>
    <mergeCell ref="I14:J14"/>
    <mergeCell ref="K14:M14"/>
    <mergeCell ref="J17:M17"/>
    <mergeCell ref="G18:M18"/>
    <mergeCell ref="A20:M20"/>
    <mergeCell ref="A24:B24"/>
    <mergeCell ref="D24:E24"/>
    <mergeCell ref="G24:M24"/>
    <mergeCell ref="A17:B17"/>
    <mergeCell ref="A18:B18"/>
    <mergeCell ref="D17:E17"/>
    <mergeCell ref="D18:E18"/>
    <mergeCell ref="G17:I17"/>
  </mergeCells>
  <pageMargins left="0.7" right="0.7" top="0.75" bottom="0.75" header="0.3" footer="0.3"/>
  <pageSetup scale="76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M42"/>
  <sheetViews>
    <sheetView zoomScaleNormal="100" workbookViewId="0">
      <selection activeCell="S10" sqref="S10"/>
    </sheetView>
  </sheetViews>
  <sheetFormatPr defaultRowHeight="15" x14ac:dyDescent="0.25"/>
  <cols>
    <col min="10" max="10" width="2.85546875" customWidth="1"/>
    <col min="11" max="11" width="11.7109375" customWidth="1"/>
    <col min="12" max="12" width="3.42578125" customWidth="1"/>
    <col min="13" max="13" width="10.7109375" customWidth="1"/>
  </cols>
  <sheetData>
    <row r="1" spans="1:13" x14ac:dyDescent="0.25">
      <c r="A1" s="7"/>
      <c r="B1" s="13"/>
      <c r="C1" s="13"/>
      <c r="D1" s="13"/>
      <c r="E1" s="13"/>
      <c r="F1" s="13"/>
      <c r="G1" s="13"/>
      <c r="H1" s="13"/>
      <c r="I1" s="13"/>
      <c r="J1" s="153"/>
      <c r="K1" s="153"/>
      <c r="L1" s="13"/>
      <c r="M1" s="14"/>
    </row>
    <row r="2" spans="1:13" x14ac:dyDescent="0.25">
      <c r="A2" s="8"/>
      <c r="B2" s="9"/>
      <c r="C2" s="9"/>
      <c r="D2" s="9"/>
      <c r="E2" s="9"/>
      <c r="F2" s="9"/>
      <c r="G2" s="9"/>
      <c r="H2" s="9"/>
      <c r="I2" s="9"/>
      <c r="J2" s="9"/>
      <c r="K2" s="65" t="s">
        <v>215</v>
      </c>
      <c r="L2" s="65"/>
      <c r="M2" s="10"/>
    </row>
    <row r="3" spans="1:13" x14ac:dyDescent="0.25">
      <c r="A3" s="8"/>
      <c r="B3" s="9"/>
      <c r="C3" s="9"/>
      <c r="D3" s="9"/>
      <c r="E3" s="9"/>
      <c r="F3" s="9"/>
      <c r="G3" s="9"/>
      <c r="H3" s="9"/>
      <c r="I3" s="9"/>
      <c r="J3" s="9"/>
      <c r="K3" s="172" t="s">
        <v>228</v>
      </c>
      <c r="L3" s="114"/>
      <c r="M3" s="115"/>
    </row>
    <row r="4" spans="1:13" x14ac:dyDescent="0.25">
      <c r="A4" s="8"/>
      <c r="B4" s="9"/>
      <c r="C4" s="9"/>
      <c r="D4" s="9"/>
      <c r="E4" s="9"/>
      <c r="F4" s="9"/>
      <c r="G4" s="9"/>
      <c r="H4" s="9"/>
      <c r="I4" s="9"/>
      <c r="J4" s="9"/>
      <c r="K4" s="114"/>
      <c r="L4" s="114"/>
      <c r="M4" s="115"/>
    </row>
    <row r="5" spans="1:13" x14ac:dyDescent="0.25">
      <c r="A5" s="8"/>
      <c r="B5" s="9"/>
      <c r="C5" s="9"/>
      <c r="D5" s="9"/>
      <c r="E5" s="9"/>
      <c r="F5" s="9"/>
      <c r="G5" s="9"/>
      <c r="H5" s="9"/>
      <c r="I5" s="9"/>
      <c r="J5" s="9"/>
      <c r="K5" s="114"/>
      <c r="L5" s="114"/>
      <c r="M5" s="115"/>
    </row>
    <row r="6" spans="1:13" x14ac:dyDescent="0.25">
      <c r="A6" s="8"/>
      <c r="B6" s="9"/>
      <c r="C6" s="9"/>
      <c r="D6" s="9"/>
      <c r="E6" s="9"/>
      <c r="F6" s="9"/>
      <c r="G6" s="9"/>
      <c r="H6" s="9"/>
      <c r="I6" s="9"/>
      <c r="J6" s="9"/>
      <c r="K6" s="114"/>
      <c r="L6" s="114"/>
      <c r="M6" s="115"/>
    </row>
    <row r="7" spans="1:13" x14ac:dyDescent="0.25">
      <c r="A7" s="8"/>
      <c r="B7" s="9"/>
      <c r="C7" s="9"/>
      <c r="D7" s="9"/>
      <c r="E7" s="9"/>
      <c r="F7" s="9"/>
      <c r="G7" s="9"/>
      <c r="H7" s="9"/>
      <c r="I7" s="9"/>
      <c r="J7" s="9"/>
      <c r="K7" s="114"/>
      <c r="L7" s="114"/>
      <c r="M7" s="115"/>
    </row>
    <row r="8" spans="1:13" x14ac:dyDescent="0.25">
      <c r="A8" s="8"/>
      <c r="B8" s="9"/>
      <c r="C8" s="9"/>
      <c r="D8" s="9"/>
      <c r="E8" s="9"/>
      <c r="F8" s="9"/>
      <c r="G8" s="9"/>
      <c r="H8" s="9"/>
      <c r="I8" s="9"/>
      <c r="J8" s="9"/>
      <c r="K8" s="114"/>
      <c r="L8" s="114"/>
      <c r="M8" s="115"/>
    </row>
    <row r="9" spans="1:13" x14ac:dyDescent="0.25">
      <c r="A9" s="8"/>
      <c r="B9" s="9"/>
      <c r="C9" s="9"/>
      <c r="D9" s="9"/>
      <c r="E9" s="9"/>
      <c r="F9" s="9"/>
      <c r="G9" s="9"/>
      <c r="H9" s="9"/>
      <c r="I9" s="171" t="s">
        <v>219</v>
      </c>
      <c r="J9" s="171"/>
      <c r="K9" s="171"/>
      <c r="L9" s="171"/>
      <c r="M9" s="10"/>
    </row>
    <row r="10" spans="1:13" ht="113.25" customHeight="1" x14ac:dyDescent="0.25">
      <c r="A10" s="173" t="s">
        <v>216</v>
      </c>
      <c r="B10" s="174"/>
      <c r="C10" s="174"/>
      <c r="D10" s="174"/>
      <c r="E10" s="174"/>
      <c r="F10" s="174"/>
      <c r="G10" s="174"/>
      <c r="H10" s="174"/>
      <c r="I10" s="174"/>
      <c r="J10" s="174"/>
      <c r="K10" s="174"/>
      <c r="L10" s="174"/>
      <c r="M10" s="175"/>
    </row>
    <row r="11" spans="1:13" x14ac:dyDescent="0.25">
      <c r="A11" s="21" t="s">
        <v>194</v>
      </c>
      <c r="B11" s="92"/>
      <c r="C11" s="92"/>
      <c r="D11" s="11" t="s">
        <v>195</v>
      </c>
      <c r="E11" s="92"/>
      <c r="F11" s="92"/>
      <c r="G11" s="11" t="s">
        <v>188</v>
      </c>
      <c r="H11" s="92"/>
      <c r="I11" s="92"/>
      <c r="J11" s="92"/>
      <c r="K11" s="92" t="s">
        <v>189</v>
      </c>
      <c r="L11" s="92"/>
      <c r="M11" s="19"/>
    </row>
    <row r="12" spans="1:13" x14ac:dyDescent="0.25">
      <c r="A12" s="21" t="s">
        <v>217</v>
      </c>
      <c r="B12" s="12"/>
      <c r="C12" s="96"/>
      <c r="D12" s="97"/>
      <c r="E12" s="97"/>
      <c r="F12" s="98"/>
      <c r="G12" s="12" t="s">
        <v>218</v>
      </c>
      <c r="H12" s="97"/>
      <c r="I12" s="97"/>
      <c r="J12" s="97"/>
      <c r="K12" s="97"/>
      <c r="L12" s="97"/>
      <c r="M12" s="161"/>
    </row>
    <row r="13" spans="1:13" x14ac:dyDescent="0.25">
      <c r="A13" s="154" t="s">
        <v>220</v>
      </c>
      <c r="B13" s="155"/>
      <c r="C13" s="155"/>
      <c r="D13" s="155"/>
      <c r="E13" s="155"/>
      <c r="F13" s="155"/>
      <c r="G13" s="155"/>
      <c r="H13" s="155"/>
      <c r="I13" s="155"/>
      <c r="J13" s="155"/>
      <c r="K13" s="155"/>
      <c r="L13" s="155"/>
      <c r="M13" s="156"/>
    </row>
    <row r="14" spans="1:13" x14ac:dyDescent="0.25">
      <c r="A14" s="157" t="s">
        <v>221</v>
      </c>
      <c r="B14" s="92"/>
      <c r="C14" s="73"/>
      <c r="D14" s="73"/>
      <c r="E14" s="92" t="s">
        <v>222</v>
      </c>
      <c r="F14" s="92"/>
      <c r="G14" s="73"/>
      <c r="H14" s="73"/>
      <c r="I14" s="158" t="s">
        <v>223</v>
      </c>
      <c r="J14" s="159"/>
      <c r="K14" s="160"/>
      <c r="L14" s="96"/>
      <c r="M14" s="161"/>
    </row>
    <row r="15" spans="1:13" x14ac:dyDescent="0.25">
      <c r="A15" s="128" t="s">
        <v>227</v>
      </c>
      <c r="B15" s="129"/>
      <c r="C15" s="129"/>
      <c r="D15" s="129"/>
      <c r="E15" s="129"/>
      <c r="F15" s="179" t="s">
        <v>224</v>
      </c>
      <c r="G15" s="180"/>
      <c r="H15" s="23"/>
      <c r="I15" s="179" t="s">
        <v>226</v>
      </c>
      <c r="J15" s="181"/>
      <c r="K15" s="180"/>
      <c r="L15" s="97"/>
      <c r="M15" s="161"/>
    </row>
    <row r="16" spans="1:13" x14ac:dyDescent="0.25">
      <c r="A16" s="162"/>
      <c r="B16" s="163"/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164"/>
    </row>
    <row r="17" spans="1:13" x14ac:dyDescent="0.25">
      <c r="A17" s="165"/>
      <c r="B17" s="166"/>
      <c r="C17" s="166"/>
      <c r="D17" s="166"/>
      <c r="E17" s="166"/>
      <c r="F17" s="166"/>
      <c r="G17" s="166"/>
      <c r="H17" s="166"/>
      <c r="I17" s="166"/>
      <c r="J17" s="166"/>
      <c r="K17" s="166"/>
      <c r="L17" s="166"/>
      <c r="M17" s="167"/>
    </row>
    <row r="18" spans="1:13" ht="75" customHeight="1" x14ac:dyDescent="0.25">
      <c r="A18" s="168"/>
      <c r="B18" s="169"/>
      <c r="C18" s="169"/>
      <c r="D18" s="169"/>
      <c r="E18" s="169"/>
      <c r="F18" s="169"/>
      <c r="G18" s="169"/>
      <c r="H18" s="169"/>
      <c r="I18" s="169"/>
      <c r="J18" s="169"/>
      <c r="K18" s="169"/>
      <c r="L18" s="169"/>
      <c r="M18" s="170"/>
    </row>
    <row r="19" spans="1:13" x14ac:dyDescent="0.25">
      <c r="A19" s="128" t="s">
        <v>225</v>
      </c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30"/>
    </row>
    <row r="20" spans="1:13" x14ac:dyDescent="0.25">
      <c r="A20" s="144"/>
      <c r="B20" s="145"/>
      <c r="C20" s="145"/>
      <c r="D20" s="145"/>
      <c r="E20" s="145"/>
      <c r="F20" s="145"/>
      <c r="G20" s="145"/>
      <c r="H20" s="145"/>
      <c r="I20" s="145"/>
      <c r="J20" s="145"/>
      <c r="K20" s="145"/>
      <c r="L20" s="145"/>
      <c r="M20" s="146"/>
    </row>
    <row r="21" spans="1:13" x14ac:dyDescent="0.25">
      <c r="A21" s="147"/>
      <c r="B21" s="148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9"/>
    </row>
    <row r="22" spans="1:13" ht="75" customHeight="1" x14ac:dyDescent="0.25">
      <c r="A22" s="150"/>
      <c r="B22" s="151"/>
      <c r="C22" s="151"/>
      <c r="D22" s="151"/>
      <c r="E22" s="151"/>
      <c r="F22" s="151"/>
      <c r="G22" s="151"/>
      <c r="H22" s="151"/>
      <c r="I22" s="151"/>
      <c r="J22" s="151"/>
      <c r="K22" s="151"/>
      <c r="L22" s="151"/>
      <c r="M22" s="152"/>
    </row>
    <row r="23" spans="1:13" x14ac:dyDescent="0.25">
      <c r="A23" s="176" t="s">
        <v>209</v>
      </c>
      <c r="B23" s="177"/>
      <c r="C23" s="177"/>
      <c r="D23" s="177"/>
      <c r="E23" s="177"/>
      <c r="F23" s="177"/>
      <c r="G23" s="177"/>
      <c r="H23" s="177"/>
      <c r="I23" s="177"/>
      <c r="J23" s="177"/>
      <c r="K23" s="177"/>
      <c r="L23" s="177"/>
      <c r="M23" s="178"/>
    </row>
    <row r="24" spans="1:13" x14ac:dyDescent="0.25">
      <c r="A24" s="8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10"/>
    </row>
    <row r="25" spans="1:13" x14ac:dyDescent="0.25">
      <c r="A25" s="8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10"/>
    </row>
    <row r="26" spans="1:13" x14ac:dyDescent="0.25">
      <c r="A26" s="67" t="s">
        <v>188</v>
      </c>
      <c r="B26" s="63"/>
      <c r="C26" s="62"/>
      <c r="D26" s="62"/>
      <c r="E26" s="62"/>
      <c r="F26" s="62"/>
      <c r="G26" s="62"/>
      <c r="H26" s="18"/>
      <c r="I26" s="63" t="s">
        <v>194</v>
      </c>
      <c r="J26" s="63"/>
      <c r="K26" s="18"/>
      <c r="L26" s="18"/>
      <c r="M26" s="20"/>
    </row>
    <row r="27" spans="1:13" x14ac:dyDescent="0.25">
      <c r="A27" s="8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10"/>
    </row>
    <row r="28" spans="1:13" x14ac:dyDescent="0.25">
      <c r="A28" s="8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10"/>
    </row>
    <row r="29" spans="1:13" x14ac:dyDescent="0.25">
      <c r="A29" s="67" t="s">
        <v>210</v>
      </c>
      <c r="B29" s="63"/>
      <c r="C29" s="22"/>
      <c r="D29" s="22"/>
      <c r="E29" s="22"/>
      <c r="F29" s="22"/>
      <c r="G29" s="22"/>
      <c r="H29" s="22"/>
      <c r="I29" s="63" t="s">
        <v>194</v>
      </c>
      <c r="J29" s="63"/>
      <c r="K29" s="18"/>
      <c r="L29" s="18"/>
      <c r="M29" s="20"/>
    </row>
    <row r="30" spans="1:13" x14ac:dyDescent="0.25">
      <c r="A30" s="8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10"/>
    </row>
    <row r="31" spans="1:13" x14ac:dyDescent="0.25">
      <c r="A31" s="8"/>
      <c r="B31" s="9"/>
      <c r="C31" s="9"/>
      <c r="D31" s="9"/>
      <c r="E31" s="9"/>
      <c r="F31" s="9"/>
      <c r="G31" s="9"/>
      <c r="H31" s="9"/>
      <c r="I31" s="63" t="s">
        <v>194</v>
      </c>
      <c r="J31" s="63"/>
      <c r="K31" s="9"/>
      <c r="L31" s="9"/>
      <c r="M31" s="10"/>
    </row>
    <row r="32" spans="1:13" x14ac:dyDescent="0.25">
      <c r="A32" s="67" t="s">
        <v>211</v>
      </c>
      <c r="B32" s="63"/>
      <c r="C32" s="22"/>
      <c r="D32" s="22"/>
      <c r="E32" s="22"/>
      <c r="F32" s="22"/>
      <c r="G32" s="22"/>
      <c r="H32" s="22"/>
      <c r="I32" s="63"/>
      <c r="J32" s="63"/>
      <c r="K32" s="18"/>
      <c r="L32" s="18"/>
      <c r="M32" s="20"/>
    </row>
    <row r="33" spans="1:13" x14ac:dyDescent="0.25">
      <c r="A33" s="8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10"/>
    </row>
    <row r="34" spans="1:13" x14ac:dyDescent="0.25">
      <c r="A34" s="8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10"/>
    </row>
    <row r="35" spans="1:13" x14ac:dyDescent="0.25">
      <c r="A35" s="67" t="s">
        <v>212</v>
      </c>
      <c r="B35" s="63"/>
      <c r="C35" s="22"/>
      <c r="D35" s="22"/>
      <c r="E35" s="22"/>
      <c r="F35" s="22"/>
      <c r="G35" s="22"/>
      <c r="H35" s="22"/>
      <c r="I35" s="63" t="s">
        <v>194</v>
      </c>
      <c r="J35" s="63"/>
      <c r="K35" s="18"/>
      <c r="L35" s="18"/>
      <c r="M35" s="10"/>
    </row>
    <row r="36" spans="1:13" x14ac:dyDescent="0.25">
      <c r="A36" s="8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10"/>
    </row>
    <row r="37" spans="1:13" ht="23.25" customHeight="1" x14ac:dyDescent="0.25">
      <c r="A37" s="8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10"/>
    </row>
    <row r="38" spans="1:13" x14ac:dyDescent="0.25">
      <c r="A38" s="8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10"/>
    </row>
    <row r="39" spans="1:13" x14ac:dyDescent="0.25">
      <c r="A39" s="8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10"/>
    </row>
    <row r="40" spans="1:13" x14ac:dyDescent="0.25">
      <c r="A40" s="8"/>
      <c r="B40" s="9"/>
      <c r="C40" s="9"/>
      <c r="D40" s="9"/>
      <c r="E40" s="9"/>
      <c r="F40" s="9"/>
      <c r="G40" s="65"/>
      <c r="H40" s="65"/>
      <c r="I40" s="65"/>
      <c r="J40" s="65"/>
      <c r="K40" s="65"/>
      <c r="L40" s="65"/>
      <c r="M40" s="66"/>
    </row>
    <row r="41" spans="1:13" ht="15.75" thickBot="1" x14ac:dyDescent="0.3">
      <c r="A41" s="15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7"/>
    </row>
    <row r="42" spans="1:13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</row>
  </sheetData>
  <mergeCells count="36">
    <mergeCell ref="B11:C11"/>
    <mergeCell ref="E11:F11"/>
    <mergeCell ref="H11:J11"/>
    <mergeCell ref="K11:L11"/>
    <mergeCell ref="J1:K1"/>
    <mergeCell ref="K2:L2"/>
    <mergeCell ref="K3:M8"/>
    <mergeCell ref="I9:L9"/>
    <mergeCell ref="A10:M10"/>
    <mergeCell ref="C12:F12"/>
    <mergeCell ref="H12:M12"/>
    <mergeCell ref="A13:M13"/>
    <mergeCell ref="A14:B14"/>
    <mergeCell ref="C14:D14"/>
    <mergeCell ref="E14:F14"/>
    <mergeCell ref="G14:H14"/>
    <mergeCell ref="I14:K14"/>
    <mergeCell ref="L14:M14"/>
    <mergeCell ref="A29:B29"/>
    <mergeCell ref="I29:J29"/>
    <mergeCell ref="A15:E15"/>
    <mergeCell ref="F15:G15"/>
    <mergeCell ref="I15:K15"/>
    <mergeCell ref="A20:M22"/>
    <mergeCell ref="A23:M23"/>
    <mergeCell ref="A26:B26"/>
    <mergeCell ref="C26:G26"/>
    <mergeCell ref="I26:J26"/>
    <mergeCell ref="L15:M15"/>
    <mergeCell ref="A16:M18"/>
    <mergeCell ref="A19:M19"/>
    <mergeCell ref="I31:J32"/>
    <mergeCell ref="A32:B32"/>
    <mergeCell ref="A35:B35"/>
    <mergeCell ref="I35:J35"/>
    <mergeCell ref="G40:M40"/>
  </mergeCells>
  <pageMargins left="0.7" right="0.7" top="0.75" bottom="0.75" header="0.3" footer="0.3"/>
  <pageSetup scale="76"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SGT" Type="http://schemas.openxmlformats.org/officeDocument/2006/relationships/image" Target="images/SGT.png"/><Relationship Id="LT" Type="http://schemas.openxmlformats.org/officeDocument/2006/relationships/image" Target="images/LT.jpg"/><Relationship Id="Sheriff" Type="http://schemas.openxmlformats.org/officeDocument/2006/relationships/image" Target="images/Sheriff.png"/><Relationship Id="EvocTwoFinal" Type="http://schemas.openxmlformats.org/officeDocument/2006/relationships/image" Target="images/EvocTwoFinal.png"/><Relationship Id="Detective" Type="http://schemas.openxmlformats.org/officeDocument/2006/relationships/image" Target="images/Detective.png"/><Relationship Id="Cpt" Type="http://schemas.openxmlformats.org/officeDocument/2006/relationships/image" Target="images/Cpt.png"/><Relationship Id="EvocOneFinal" Type="http://schemas.openxmlformats.org/officeDocument/2006/relationships/image" Target="images/EvocOneFinal.png"/><Relationship Id="DT1" Type="http://schemas.openxmlformats.org/officeDocument/2006/relationships/image" Target="images/DT1.png"/></Relationships>
</file>

<file path=customUI/customUI14.xml><?xml version="1.0" encoding="utf-8"?>
<customUI xmlns="http://schemas.microsoft.com/office/2009/07/customui" loadImage="LoadImageFromThisWorkbook">
  <ribbon startFromScratch="false">
    <tabs>
      <tab getLabel="RUI.label" getVisible="RUI.getVisible" id="tb_PatrolTools">
        <group getLabel="RUI.label" getVisible="RUI.getVisible" id="Grp_One">
          <button image="Detective" getVisible="RUI.getVisible" getScreentip="RUI.screenTip" getSupertip="RUI.supertip" getLabel="RUI.label" getSize="RUI.size" onAction="RUI.onAction" id="btn_CIDRequest"/>
          <separator id="separatorOne"/>
          <button image="EvocOneFinal" getVisible="RUI.getVisible" getScreentip="RUI.screenTip" getSupertip="RUI.supertip" getLabel="RUI.label" getSize="RUI.size" onAction="RUI.onAction" id="btn_Evoc1"/>
          <button image="EvocTwoFinal" getVisible="RUI.getVisible" getScreentip="RUI.screenTip" getSupertip="RUI.supertip" getLabel="RUI.label" getSize="RUI.size" onAction="RUI.onAction" id="btn_Evoc2"/>
          <separator id="separatorTwo"/>
          <button image="DT1" getVisible="RUI.getVisible" getScreentip="RUI.screenTip" getSupertip="RUI.supertip" getLabel="RUI.label" getSize="RUI.size" onAction="RUI.onAction" id="btn_DT1"/>
          <separator id="separatorFour"/>
          <button imageMso="ReviewTrackChanges" getVisible="RUI.getVisible" getScreentip="RUI.screenTip" getSupertip="RUI.supertip" getLabel="RUI.label" getSize="RUI.size" onAction="RUI.onAction" id="btn_EditForm"/>
        </group>
      </tab>
      <tab getLabel="RUI.label" getVisible="RUI.getVisible" id="tb_SupervisorTools">
        <group getLabel="RUI.label" getVisible="RUI.getVisible" id="Grp_Two">
          <button image="SGT" getVisible="RUI.getVisible" getScreentip="RUI.screenTip" getSupertip="RUI.supertip" getLabel="RUI.label" getSize="RUI.size" onAction="RUI.onAction" id="btn_CheckSgtQue"/>
          <button image="LT" getVisible="RUI.getVisible" getScreentip="RUI.screenTip" getSupertip="RUI.supertip" getLabel="RUI.label" getSize="RUI.size" onAction="RUI.onAction" id="btn_CheckLTQue"/>
          <button image="Cpt" getVisible="RUI.getVisible" getScreentip="RUI.screenTip" getSupertip="RUI.supertip" getLabel="RUI.label" getSize="RUI.size" onAction="RUI.onAction" id="btn_CheckCptQue"/>
          <button image="Sheriff" getVisible="RUI.getVisible" getScreentip="RUI.screenTip" getSupertip="RUI.supertip" getLabel="RUI.label" getSize="RUI.size" onAction="RUI.onAction" id="btn_CheckSheriffQue"/>
          <separator id="separatorThree"/>
          <button imageMso="SlideMasterInsertLayout" getVisible="RUI.getVisible" getScreentip="RUI.screenTip" getSupertip="RUI.supertip" getLabel="RUI.label" getSize="RUI.size" onAction="RUI.onAction" id="btn_CreateFor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28</vt:i4>
      </vt:variant>
    </vt:vector>
  </HeadingPairs>
  <TitlesOfParts>
    <vt:vector size="38" baseType="lpstr">
      <vt:lpstr>Welcome</vt:lpstr>
      <vt:lpstr>Customs</vt:lpstr>
      <vt:lpstr>CIDReferal</vt:lpstr>
      <vt:lpstr>Data</vt:lpstr>
      <vt:lpstr>DataEvoc1</vt:lpstr>
      <vt:lpstr>DataEvoc2</vt:lpstr>
      <vt:lpstr>DataDT1</vt:lpstr>
      <vt:lpstr>EVOC1</vt:lpstr>
      <vt:lpstr>EVOC2</vt:lpstr>
      <vt:lpstr>DT1</vt:lpstr>
      <vt:lpstr>Evoc1_CaseNum</vt:lpstr>
      <vt:lpstr>Evoc1_Category</vt:lpstr>
      <vt:lpstr>Evoc1_Comments</vt:lpstr>
      <vt:lpstr>Evoc1_CptDate</vt:lpstr>
      <vt:lpstr>Evoc1_Date</vt:lpstr>
      <vt:lpstr>Evoc1_DepJCNum</vt:lpstr>
      <vt:lpstr>Evoc1_DepSpeed</vt:lpstr>
      <vt:lpstr>Evoc1_Deputy</vt:lpstr>
      <vt:lpstr>Evoc1_DeputyDate</vt:lpstr>
      <vt:lpstr>Evoc1_InitialViolation</vt:lpstr>
      <vt:lpstr>Evoc1_Lighting</vt:lpstr>
      <vt:lpstr>Evoc1_OICJCNum</vt:lpstr>
      <vt:lpstr>Evoc1_OICName</vt:lpstr>
      <vt:lpstr>Evoc1_OtherTraffic</vt:lpstr>
      <vt:lpstr>Evoc1_OtherUnits</vt:lpstr>
      <vt:lpstr>Evoc1_Position</vt:lpstr>
      <vt:lpstr>Evoc1_ReasonStarted</vt:lpstr>
      <vt:lpstr>Evoc1_RoadSurface</vt:lpstr>
      <vt:lpstr>Evoc1_Route</vt:lpstr>
      <vt:lpstr>Evoc1_SgtDate</vt:lpstr>
      <vt:lpstr>Evoc1_SuspectSpeed</vt:lpstr>
      <vt:lpstr>Evoc1_TeamNum</vt:lpstr>
      <vt:lpstr>Evoc1_TermSelected</vt:lpstr>
      <vt:lpstr>Evoc1_TermTime</vt:lpstr>
      <vt:lpstr>Evoc1_Time</vt:lpstr>
      <vt:lpstr>Evoc1_VehNum</vt:lpstr>
      <vt:lpstr>Evoc1_Weather</vt:lpstr>
      <vt:lpstr>Evoc2_CaseNum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Osborne7</dc:creator>
  <cp:lastModifiedBy>Osborne7</cp:lastModifiedBy>
  <cp:lastPrinted>2017-11-29T22:19:17Z</cp:lastPrinted>
  <dcterms:created xsi:type="dcterms:W3CDTF">2017-11-02T00:11:14Z</dcterms:created>
  <dcterms:modified xsi:type="dcterms:W3CDTF">2018-01-31T07:37:47Z</dcterms:modified>
</cp:coreProperties>
</file>